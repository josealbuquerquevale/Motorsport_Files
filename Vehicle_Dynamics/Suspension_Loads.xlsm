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:\My Drive\Racing\Static_Models\"/>
    </mc:Choice>
  </mc:AlternateContent>
  <xr:revisionPtr revIDLastSave="0" documentId="13_ncr:1_{546FBF81-F997-4394-A7BB-3782145118F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ick-up Points" sheetId="2" r:id="rId1"/>
    <sheet name="Calcs" sheetId="1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9" i="1" l="1"/>
  <c r="M49" i="1"/>
  <c r="L49" i="1"/>
  <c r="B54" i="1"/>
  <c r="L51" i="1"/>
  <c r="M51" i="1"/>
  <c r="N51" i="1"/>
  <c r="L52" i="1"/>
  <c r="M52" i="1"/>
  <c r="N52" i="1"/>
  <c r="L53" i="1"/>
  <c r="M53" i="1"/>
  <c r="N53" i="1"/>
  <c r="L54" i="1"/>
  <c r="M54" i="1"/>
  <c r="N54" i="1"/>
  <c r="L55" i="1"/>
  <c r="M55" i="1"/>
  <c r="N55" i="1"/>
  <c r="M50" i="1"/>
  <c r="N50" i="1"/>
  <c r="L50" i="1"/>
  <c r="M42" i="1"/>
  <c r="N42" i="1"/>
  <c r="M41" i="1"/>
  <c r="N41" i="1"/>
  <c r="M40" i="1"/>
  <c r="N40" i="1"/>
  <c r="M39" i="1"/>
  <c r="N39" i="1"/>
  <c r="M38" i="1"/>
  <c r="N38" i="1"/>
  <c r="L42" i="1"/>
  <c r="L41" i="1"/>
  <c r="L40" i="1"/>
  <c r="L39" i="1"/>
  <c r="L38" i="1"/>
  <c r="M37" i="1"/>
  <c r="N37" i="1"/>
  <c r="L37" i="1"/>
  <c r="B47" i="1"/>
  <c r="B38" i="1"/>
  <c r="B41" i="1" s="1"/>
  <c r="B37" i="1"/>
  <c r="B40" i="1" s="1"/>
  <c r="B36" i="1"/>
  <c r="B35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H50" i="1"/>
  <c r="I50" i="1"/>
  <c r="G50" i="1"/>
  <c r="G37" i="1"/>
  <c r="N56" i="1" l="1"/>
  <c r="B49" i="1"/>
  <c r="B48" i="1"/>
  <c r="B39" i="1"/>
  <c r="B42" i="1" s="1"/>
  <c r="G42" i="1"/>
  <c r="G41" i="1"/>
  <c r="G40" i="1"/>
  <c r="G39" i="1"/>
  <c r="G38" i="1"/>
  <c r="I49" i="1"/>
  <c r="H49" i="1"/>
  <c r="G49" i="1"/>
  <c r="I61" i="1" l="1"/>
  <c r="B51" i="1" s="1"/>
  <c r="H60" i="1" s="1"/>
  <c r="B43" i="1"/>
  <c r="H58" i="1"/>
  <c r="I58" i="1"/>
  <c r="G58" i="1"/>
  <c r="G57" i="1"/>
  <c r="H42" i="1"/>
  <c r="I42" i="1"/>
  <c r="H41" i="1"/>
  <c r="I41" i="1"/>
  <c r="H40" i="1"/>
  <c r="I40" i="1"/>
  <c r="H39" i="1"/>
  <c r="I39" i="1"/>
  <c r="H38" i="1"/>
  <c r="I38" i="1"/>
  <c r="H37" i="1"/>
  <c r="I37" i="1"/>
  <c r="L47" i="1" a="1"/>
  <c r="G44" i="1" a="1"/>
  <c r="G46" i="1" a="1"/>
  <c r="L43" i="1" a="1"/>
  <c r="L44" i="1" a="1"/>
  <c r="G48" i="1" a="1"/>
  <c r="G45" i="1" a="1"/>
  <c r="G43" i="1" a="1"/>
  <c r="G47" i="1" a="1"/>
  <c r="L46" i="1" a="1"/>
  <c r="L48" i="1" a="1"/>
  <c r="L45" i="1" a="1"/>
  <c r="F68" i="1" a="1"/>
  <c r="T68" i="1" l="1"/>
  <c r="L56" i="1"/>
  <c r="L58" i="1"/>
  <c r="L57" i="1"/>
  <c r="N58" i="1"/>
  <c r="N57" i="1"/>
  <c r="M56" i="1"/>
  <c r="M57" i="1"/>
  <c r="M58" i="1"/>
  <c r="G59" i="1"/>
  <c r="T66" i="1" s="1"/>
  <c r="B45" i="1"/>
  <c r="N61" i="1"/>
  <c r="B44" i="1"/>
  <c r="T67" i="1" s="1"/>
  <c r="H68" i="1"/>
  <c r="F68" i="1"/>
  <c r="G68" i="1"/>
  <c r="H57" i="1"/>
  <c r="I57" i="1"/>
  <c r="G45" i="1"/>
  <c r="H45" i="1"/>
  <c r="I45" i="1"/>
  <c r="G46" i="1"/>
  <c r="H46" i="1"/>
  <c r="I46" i="1"/>
  <c r="G48" i="1"/>
  <c r="H48" i="1"/>
  <c r="I48" i="1"/>
  <c r="G47" i="1"/>
  <c r="H47" i="1"/>
  <c r="I47" i="1"/>
  <c r="G44" i="1"/>
  <c r="H44" i="1"/>
  <c r="I44" i="1"/>
  <c r="G43" i="1"/>
  <c r="H43" i="1"/>
  <c r="I43" i="1"/>
  <c r="L47" i="1"/>
  <c r="L46" i="1"/>
  <c r="L45" i="1"/>
  <c r="L48" i="1"/>
  <c r="L44" i="1"/>
  <c r="L43" i="1"/>
  <c r="G56" i="1"/>
  <c r="I56" i="1"/>
  <c r="H56" i="1"/>
  <c r="M81" i="1" a="1"/>
  <c r="O81" i="1" a="1"/>
  <c r="L69" i="1" a="1"/>
  <c r="N81" i="1" a="1"/>
  <c r="P81" i="1" a="1"/>
  <c r="F80" i="1" a="1"/>
  <c r="F67" i="1" a="1"/>
  <c r="N69" i="1" a="1"/>
  <c r="K69" i="1" a="1"/>
  <c r="O69" i="1" a="1"/>
  <c r="P69" i="1" a="1"/>
  <c r="F66" i="1" a="1"/>
  <c r="L81" i="1" a="1"/>
  <c r="M69" i="1" a="1"/>
  <c r="P81" i="1" l="1"/>
  <c r="M81" i="1"/>
  <c r="L81" i="1"/>
  <c r="N81" i="1"/>
  <c r="O81" i="1"/>
  <c r="K78" i="1" a="1"/>
  <c r="K78" i="1" s="1"/>
  <c r="B52" i="1"/>
  <c r="L59" i="1" s="1"/>
  <c r="T80" i="1"/>
  <c r="F80" i="1"/>
  <c r="K66" i="1" a="1"/>
  <c r="K66" i="1" s="1"/>
  <c r="F66" i="1"/>
  <c r="H66" i="1"/>
  <c r="G66" i="1"/>
  <c r="G67" i="1"/>
  <c r="H67" i="1"/>
  <c r="F67" i="1"/>
  <c r="K69" i="1"/>
  <c r="M69" i="1"/>
  <c r="N69" i="1"/>
  <c r="P69" i="1"/>
  <c r="L69" i="1"/>
  <c r="L70" i="1"/>
  <c r="L71" i="1"/>
  <c r="O69" i="1"/>
  <c r="F78" i="1" a="1"/>
  <c r="K81" i="1" a="1"/>
  <c r="T70" i="1" l="1"/>
  <c r="K81" i="1"/>
  <c r="M60" i="1"/>
  <c r="T79" i="1" s="1"/>
  <c r="T71" i="1"/>
  <c r="F78" i="1"/>
  <c r="T78" i="1"/>
  <c r="T69" i="1"/>
  <c r="H87" i="1" s="1" a="1"/>
  <c r="H87" i="1" s="1"/>
  <c r="F79" i="1" a="1"/>
  <c r="N7" i="1" l="1"/>
  <c r="N5" i="1"/>
  <c r="N6" i="1"/>
  <c r="N4" i="1"/>
  <c r="T82" i="1"/>
  <c r="T83" i="1"/>
  <c r="F79" i="1"/>
  <c r="T81" i="1" s="1"/>
  <c r="N87" i="1" s="1" a="1"/>
  <c r="N8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<sst xmlns="http://schemas.openxmlformats.org/spreadsheetml/2006/main" count="387" uniqueCount="151">
  <si>
    <t>G</t>
  </si>
  <si>
    <t>rh_f</t>
  </si>
  <si>
    <t>mm</t>
  </si>
  <si>
    <t>rh_r</t>
  </si>
  <si>
    <t>deg/G</t>
  </si>
  <si>
    <t>Pick-up Points</t>
  </si>
  <si>
    <t> </t>
  </si>
  <si>
    <t>Front</t>
  </si>
  <si>
    <t>Rear</t>
  </si>
  <si>
    <t>Point</t>
  </si>
  <si>
    <t>X</t>
  </si>
  <si>
    <t>Y</t>
  </si>
  <si>
    <t>Z</t>
  </si>
  <si>
    <t>Inboard</t>
  </si>
  <si>
    <t>Upper_Fore</t>
  </si>
  <si>
    <t>Upper_Aft</t>
  </si>
  <si>
    <t>Lower_Fore</t>
  </si>
  <si>
    <t>Lower_Aft</t>
  </si>
  <si>
    <t>Pushrod</t>
  </si>
  <si>
    <t>Toe</t>
  </si>
  <si>
    <t>Outboard</t>
  </si>
  <si>
    <t>Upper</t>
  </si>
  <si>
    <t>Lower</t>
  </si>
  <si>
    <t>Front_Wheel_Center</t>
  </si>
  <si>
    <t>Rear_Wheel_Center</t>
  </si>
  <si>
    <t>Front_Contact_Patch</t>
  </si>
  <si>
    <t>Rear_Contact_Patch</t>
  </si>
  <si>
    <t>Set Parameters</t>
  </si>
  <si>
    <t>General</t>
  </si>
  <si>
    <t>Tyre</t>
  </si>
  <si>
    <t>cogh</t>
  </si>
  <si>
    <t>m</t>
  </si>
  <si>
    <t>Roll_gradient_f</t>
  </si>
  <si>
    <t>Roll_gradient_r</t>
  </si>
  <si>
    <t>Tyre_lat_force_of</t>
  </si>
  <si>
    <t>N</t>
  </si>
  <si>
    <t>Mass</t>
  </si>
  <si>
    <t>kg</t>
  </si>
  <si>
    <t>Track_f</t>
  </si>
  <si>
    <t>Track_r</t>
  </si>
  <si>
    <t>Tyre_lat_force_if</t>
  </si>
  <si>
    <t>WD</t>
  </si>
  <si>
    <t>front</t>
  </si>
  <si>
    <t>rc_f</t>
  </si>
  <si>
    <t>rc_r</t>
  </si>
  <si>
    <t>Tyre_lat_force_or</t>
  </si>
  <si>
    <t>WB</t>
  </si>
  <si>
    <t>Tyre_lat_force_ir</t>
  </si>
  <si>
    <t>Heave_max</t>
  </si>
  <si>
    <t>max_pitch_f</t>
  </si>
  <si>
    <t>max_pitch_r</t>
  </si>
  <si>
    <t>Tyre_rate_f_1</t>
  </si>
  <si>
    <t>kg/mm</t>
  </si>
  <si>
    <t>Max_bump_f</t>
  </si>
  <si>
    <t>Pitch_gradient_f</t>
  </si>
  <si>
    <t>Pitch_gradient_r</t>
  </si>
  <si>
    <t>Tyre_rate_r_1</t>
  </si>
  <si>
    <t>Max_bump_r</t>
  </si>
  <si>
    <t>MR_f</t>
  </si>
  <si>
    <t>w/d</t>
  </si>
  <si>
    <t>MR_r</t>
  </si>
  <si>
    <t>Aero</t>
  </si>
  <si>
    <t>Suspension Loads</t>
  </si>
  <si>
    <t>A_y</t>
  </si>
  <si>
    <t>rho</t>
  </si>
  <si>
    <t>kg/(m^3)</t>
  </si>
  <si>
    <t>Fx</t>
  </si>
  <si>
    <t>V_corner</t>
  </si>
  <si>
    <t>km/h</t>
  </si>
  <si>
    <t>C_L</t>
  </si>
  <si>
    <t>-</t>
  </si>
  <si>
    <t>Fy</t>
  </si>
  <si>
    <t>A_x_brake</t>
  </si>
  <si>
    <t>A</t>
  </si>
  <si>
    <t>m^2</t>
  </si>
  <si>
    <t>Fz</t>
  </si>
  <si>
    <t>V_brake</t>
  </si>
  <si>
    <t>CoP</t>
  </si>
  <si>
    <t>A_x_accel</t>
  </si>
  <si>
    <t>V_accel</t>
  </si>
  <si>
    <t>A_z_bump</t>
  </si>
  <si>
    <t>Calculations</t>
  </si>
  <si>
    <t>Statics</t>
  </si>
  <si>
    <t>Roll_stiffness_f</t>
  </si>
  <si>
    <t>Nm/deg</t>
  </si>
  <si>
    <t>N/mm</t>
  </si>
  <si>
    <t>Roll_stiffness_r</t>
  </si>
  <si>
    <t>TLLT_f</t>
  </si>
  <si>
    <t>a</t>
  </si>
  <si>
    <t>TLLT_r</t>
  </si>
  <si>
    <t>Vectors</t>
  </si>
  <si>
    <t>b</t>
  </si>
  <si>
    <t>M_of</t>
  </si>
  <si>
    <t>h_nra</t>
  </si>
  <si>
    <t>M_front</t>
  </si>
  <si>
    <t>M_or</t>
  </si>
  <si>
    <t>M_rear</t>
  </si>
  <si>
    <t>Unit Vectors</t>
  </si>
  <si>
    <t>F_location</t>
  </si>
  <si>
    <t>Distance_to_Mcentre</t>
  </si>
  <si>
    <t>Mx</t>
  </si>
  <si>
    <t>My</t>
  </si>
  <si>
    <t>Mz</t>
  </si>
  <si>
    <t>M_Fx</t>
  </si>
  <si>
    <t>M_Fy</t>
  </si>
  <si>
    <t>M_Fz</t>
  </si>
  <si>
    <t>Up_Fore</t>
  </si>
  <si>
    <t>Up_Aft</t>
  </si>
  <si>
    <t>Low_Fore</t>
  </si>
  <si>
    <t>Low_Aft</t>
  </si>
  <si>
    <t>ΣFx</t>
  </si>
  <si>
    <t>ΣFy</t>
  </si>
  <si>
    <t>ΣFz</t>
  </si>
  <si>
    <t>ΣMx</t>
  </si>
  <si>
    <t>ΣMy</t>
  </si>
  <si>
    <t>ΣMz</t>
  </si>
  <si>
    <t>=</t>
  </si>
  <si>
    <t>x</t>
  </si>
  <si>
    <t>F_UpFore</t>
  </si>
  <si>
    <t>F_UpAft</t>
  </si>
  <si>
    <t>F_LowFore</t>
  </si>
  <si>
    <t>F_LowAft</t>
  </si>
  <si>
    <t>F_PushRod</t>
  </si>
  <si>
    <t>F_Toe</t>
  </si>
  <si>
    <t>y</t>
  </si>
  <si>
    <t>z</t>
  </si>
  <si>
    <t>F_vector</t>
  </si>
  <si>
    <t>Ax</t>
  </si>
  <si>
    <t>Ay</t>
  </si>
  <si>
    <t>Az</t>
  </si>
  <si>
    <t>Long_load_transfer</t>
  </si>
  <si>
    <t>*</t>
  </si>
  <si>
    <t>Load Transfers</t>
  </si>
  <si>
    <t>Fz_percent_front</t>
  </si>
  <si>
    <t>Fz_percent_rear</t>
  </si>
  <si>
    <t>r_tyre</t>
  </si>
  <si>
    <t>Usual Range</t>
  </si>
  <si>
    <t>[-3.1, 1.5]</t>
  </si>
  <si>
    <t>[0, 2.9]</t>
  </si>
  <si>
    <t>[0, 3.2]</t>
  </si>
  <si>
    <t>Max_dive</t>
  </si>
  <si>
    <t>Max_squat</t>
  </si>
  <si>
    <t>K_tyre_f</t>
  </si>
  <si>
    <t>K_tyre_r</t>
  </si>
  <si>
    <t>Damping_ratio</t>
  </si>
  <si>
    <t>MR_ARB</t>
  </si>
  <si>
    <t>w/ARB</t>
  </si>
  <si>
    <t>L_ARB</t>
  </si>
  <si>
    <t>Max_heave_f</t>
  </si>
  <si>
    <t>Max_heave_r</t>
  </si>
  <si>
    <t>max_heave_spring_f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</si>
</sst>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000000"/>
      <name val="Aptos Narrow"/>
      <scheme val="minor"/>
    </font>
    <font>
      <b/>
      <sz val="11"/>
      <color rgb="FF000000"/>
      <name val="Aptos Narrow"/>
      <scheme val="minor"/>
    </font>
    <font>
      <sz val="11"/>
      <color theme="1"/>
      <name val="-Apple-System"/>
      <charset val="1"/>
    </font>
    <font>
      <sz val="11"/>
      <color rgb="FF0C0C0C"/>
      <name val="Aptos Narrow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5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60C94-B4EF-481D-9D06-71B054204EF8}">
  <sheetPr codeName="Sheet2"/>
  <dimension ref="A1:L56"/>
  <sheetViews>
    <sheetView workbookViewId="0">
      <selection activeCell="G21" sqref="G21"/>
    </sheetView>
  </sheetViews>
  <sheetFormatPr defaultRowHeight="14.25"/>
  <cols>
    <col min="2" max="2" width="21.25" style="1" customWidth="1"/>
    <col min="3" max="3" width="12.75" bestFit="1" customWidth="1"/>
    <col min="4" max="4" width="12.25" style="1" bestFit="1" customWidth="1"/>
    <col min="6" max="6" width="17.75" customWidth="1"/>
    <col min="7" max="7" width="9" bestFit="1" customWidth="1"/>
    <col min="8" max="8" width="21.75" style="1" customWidth="1"/>
    <col min="9" max="9" width="14.125" customWidth="1"/>
    <col min="10" max="10" width="10" style="1" customWidth="1"/>
  </cols>
  <sheetData>
    <row r="1" spans="1:12" ht="15.75">
      <c r="A1" s="76" t="s">
        <v>5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2">
      <c r="B2" s="4" t="s">
        <v>6</v>
      </c>
      <c r="D2"/>
    </row>
    <row r="3" spans="1:12" ht="15">
      <c r="A3" s="78" t="s">
        <v>7</v>
      </c>
      <c r="B3" s="78"/>
      <c r="C3" s="78"/>
      <c r="D3" s="78"/>
      <c r="E3" s="78"/>
      <c r="F3" s="3"/>
      <c r="H3" s="2" t="s">
        <v>8</v>
      </c>
      <c r="I3" s="2"/>
      <c r="J3" s="2"/>
      <c r="K3" s="2"/>
      <c r="L3" s="2"/>
    </row>
    <row r="4" spans="1:12" ht="15">
      <c r="B4" s="5" t="s">
        <v>9</v>
      </c>
      <c r="C4" s="3" t="s">
        <v>10</v>
      </c>
      <c r="D4" s="3" t="s">
        <v>11</v>
      </c>
      <c r="E4" s="3" t="s">
        <v>12</v>
      </c>
      <c r="H4" s="5" t="s">
        <v>9</v>
      </c>
      <c r="I4" s="3" t="s">
        <v>10</v>
      </c>
      <c r="J4" s="3" t="s">
        <v>11</v>
      </c>
      <c r="K4" s="3" t="s">
        <v>12</v>
      </c>
    </row>
    <row r="5" spans="1:12">
      <c r="A5" s="77" t="s">
        <v>13</v>
      </c>
      <c r="B5" s="17" t="s">
        <v>14</v>
      </c>
      <c r="C5" s="12">
        <v>75.260000000000005</v>
      </c>
      <c r="D5" s="12">
        <v>352.81</v>
      </c>
      <c r="E5" s="14">
        <v>323.07</v>
      </c>
      <c r="G5" s="79" t="s">
        <v>13</v>
      </c>
      <c r="H5" s="20" t="s">
        <v>14</v>
      </c>
      <c r="I5" s="12">
        <v>3045</v>
      </c>
      <c r="J5" s="12">
        <v>250</v>
      </c>
      <c r="K5" s="14">
        <v>259.08999999999997</v>
      </c>
    </row>
    <row r="6" spans="1:12">
      <c r="A6" s="77"/>
      <c r="B6" s="18" t="s">
        <v>15</v>
      </c>
      <c r="C6" s="13">
        <v>375.26</v>
      </c>
      <c r="D6" s="13">
        <v>352.81</v>
      </c>
      <c r="E6" s="15">
        <v>302.68</v>
      </c>
      <c r="G6" s="80"/>
      <c r="H6" s="21" t="s">
        <v>15</v>
      </c>
      <c r="I6" s="13">
        <v>3445</v>
      </c>
      <c r="J6" s="13">
        <v>250</v>
      </c>
      <c r="K6" s="15">
        <v>122.55</v>
      </c>
    </row>
    <row r="7" spans="1:12">
      <c r="A7" s="77"/>
      <c r="B7" s="18" t="s">
        <v>16</v>
      </c>
      <c r="C7" s="13">
        <v>75.260000000000005</v>
      </c>
      <c r="D7" s="13">
        <v>352.81</v>
      </c>
      <c r="E7" s="15">
        <v>153.27000000000001</v>
      </c>
      <c r="G7" s="80"/>
      <c r="H7" s="21" t="s">
        <v>16</v>
      </c>
      <c r="I7" s="13">
        <v>3045</v>
      </c>
      <c r="J7" s="13">
        <v>250</v>
      </c>
      <c r="K7" s="15">
        <v>135.41999999999999</v>
      </c>
    </row>
    <row r="8" spans="1:12">
      <c r="A8" s="77"/>
      <c r="B8" s="18" t="s">
        <v>17</v>
      </c>
      <c r="C8" s="13">
        <v>375.26</v>
      </c>
      <c r="D8" s="13">
        <v>352.81</v>
      </c>
      <c r="E8" s="15">
        <v>150.09</v>
      </c>
      <c r="G8" s="80"/>
      <c r="H8" s="21" t="s">
        <v>17</v>
      </c>
      <c r="I8" s="13">
        <v>3445</v>
      </c>
      <c r="J8" s="13">
        <v>250</v>
      </c>
      <c r="K8" s="15">
        <v>256.88</v>
      </c>
    </row>
    <row r="9" spans="1:12">
      <c r="A9" s="77"/>
      <c r="B9" s="18" t="s">
        <v>18</v>
      </c>
      <c r="C9" s="13">
        <v>0</v>
      </c>
      <c r="D9" s="13">
        <v>488</v>
      </c>
      <c r="E9" s="15">
        <v>232.43</v>
      </c>
      <c r="G9" s="80"/>
      <c r="H9" s="21" t="s">
        <v>18</v>
      </c>
      <c r="I9" s="13">
        <v>3150</v>
      </c>
      <c r="J9" s="13">
        <v>153.93</v>
      </c>
      <c r="K9" s="15">
        <v>184.43</v>
      </c>
    </row>
    <row r="10" spans="1:12">
      <c r="A10" s="77"/>
      <c r="B10" s="18" t="s">
        <v>19</v>
      </c>
      <c r="C10" s="13">
        <v>-169.87</v>
      </c>
      <c r="D10" s="13">
        <v>456.23</v>
      </c>
      <c r="E10" s="15">
        <v>355.6</v>
      </c>
      <c r="G10" s="80"/>
      <c r="H10" s="21" t="s">
        <v>19</v>
      </c>
      <c r="I10" s="13">
        <v>3300</v>
      </c>
      <c r="J10" s="13">
        <v>250</v>
      </c>
      <c r="K10" s="15">
        <v>355.6</v>
      </c>
    </row>
    <row r="11" spans="1:12">
      <c r="A11" s="77" t="s">
        <v>20</v>
      </c>
      <c r="B11" s="17" t="s">
        <v>21</v>
      </c>
      <c r="C11" s="12">
        <v>61.91</v>
      </c>
      <c r="D11" s="12">
        <v>739.19</v>
      </c>
      <c r="E11" s="14">
        <v>441.42</v>
      </c>
      <c r="G11" s="79" t="s">
        <v>20</v>
      </c>
      <c r="H11" s="20" t="s">
        <v>21</v>
      </c>
      <c r="I11" s="12">
        <v>2978.62</v>
      </c>
      <c r="J11" s="12">
        <v>719.81</v>
      </c>
      <c r="K11" s="14">
        <v>366.12</v>
      </c>
    </row>
    <row r="12" spans="1:12">
      <c r="A12" s="77"/>
      <c r="B12" s="18" t="s">
        <v>22</v>
      </c>
      <c r="C12" s="13">
        <v>8.8800000000000008</v>
      </c>
      <c r="D12" s="13">
        <v>786.21</v>
      </c>
      <c r="E12" s="15">
        <v>211.73</v>
      </c>
      <c r="G12" s="80"/>
      <c r="H12" s="21" t="s">
        <v>22</v>
      </c>
      <c r="I12" s="13">
        <v>3085.14</v>
      </c>
      <c r="J12" s="13">
        <v>767.62</v>
      </c>
      <c r="K12" s="15">
        <v>181.62</v>
      </c>
    </row>
    <row r="13" spans="1:12">
      <c r="A13" s="77"/>
      <c r="B13" s="18" t="s">
        <v>18</v>
      </c>
      <c r="C13" s="13">
        <v>0</v>
      </c>
      <c r="D13" s="13">
        <v>688</v>
      </c>
      <c r="E13" s="15">
        <v>-113.98</v>
      </c>
      <c r="G13" s="80"/>
      <c r="H13" s="21" t="s">
        <v>18</v>
      </c>
      <c r="I13" s="13">
        <v>3150</v>
      </c>
      <c r="J13" s="13">
        <v>575.25</v>
      </c>
      <c r="K13" s="15">
        <v>-169.11</v>
      </c>
    </row>
    <row r="14" spans="1:12">
      <c r="A14" s="77"/>
      <c r="B14" s="19" t="s">
        <v>19</v>
      </c>
      <c r="C14" s="10">
        <v>-169.87</v>
      </c>
      <c r="D14" s="10">
        <v>832.77</v>
      </c>
      <c r="E14" s="16">
        <v>355.6</v>
      </c>
      <c r="G14" s="81"/>
      <c r="H14" s="22" t="s">
        <v>19</v>
      </c>
      <c r="I14" s="10">
        <v>3300</v>
      </c>
      <c r="J14" s="10">
        <v>797.5</v>
      </c>
      <c r="K14" s="16">
        <v>355.6</v>
      </c>
    </row>
    <row r="15" spans="1:12">
      <c r="A15" s="9"/>
      <c r="B15" s="6" t="s">
        <v>23</v>
      </c>
      <c r="C15">
        <v>0</v>
      </c>
      <c r="D15">
        <v>832.75</v>
      </c>
      <c r="E15">
        <v>355.6</v>
      </c>
      <c r="H15" s="6" t="s">
        <v>24</v>
      </c>
      <c r="I15">
        <v>3150</v>
      </c>
      <c r="J15">
        <v>815.3</v>
      </c>
      <c r="K15">
        <v>355.6</v>
      </c>
    </row>
    <row r="16" spans="1:12">
      <c r="A16" s="9"/>
      <c r="B16" s="6" t="s">
        <v>25</v>
      </c>
      <c r="C16">
        <v>0</v>
      </c>
      <c r="D16">
        <v>832.75</v>
      </c>
      <c r="E16">
        <v>0</v>
      </c>
      <c r="H16" s="6" t="s">
        <v>26</v>
      </c>
      <c r="I16">
        <v>3150</v>
      </c>
      <c r="J16">
        <v>815.3</v>
      </c>
      <c r="K16">
        <v>0</v>
      </c>
    </row>
    <row r="17" spans="1:10">
      <c r="A17" s="9"/>
    </row>
    <row r="27" spans="1:10" ht="16.5" customHeight="1"/>
    <row r="29" spans="1:10">
      <c r="H29"/>
      <c r="J29"/>
    </row>
    <row r="30" spans="1:10">
      <c r="H30"/>
      <c r="J30"/>
    </row>
    <row r="31" spans="1:10">
      <c r="D31"/>
      <c r="H31"/>
      <c r="J31"/>
    </row>
    <row r="32" spans="1:10">
      <c r="D32"/>
      <c r="H32"/>
      <c r="J32"/>
    </row>
    <row r="33" spans="2:10">
      <c r="D33"/>
      <c r="H33"/>
      <c r="J33"/>
    </row>
    <row r="34" spans="2:10">
      <c r="D34"/>
      <c r="H34"/>
      <c r="J34"/>
    </row>
    <row r="35" spans="2:10">
      <c r="D35"/>
      <c r="H35"/>
      <c r="J35"/>
    </row>
    <row r="36" spans="2:10">
      <c r="D36"/>
      <c r="H36"/>
      <c r="J36"/>
    </row>
    <row r="37" spans="2:10">
      <c r="D37"/>
      <c r="H37"/>
      <c r="J37"/>
    </row>
    <row r="38" spans="2:10">
      <c r="H38"/>
      <c r="J38"/>
    </row>
    <row r="39" spans="2:10">
      <c r="B39" s="4"/>
      <c r="H39"/>
      <c r="J39"/>
    </row>
    <row r="40" spans="2:10">
      <c r="B40" s="4"/>
      <c r="H40"/>
      <c r="J40"/>
    </row>
    <row r="41" spans="2:10">
      <c r="B41" s="4"/>
      <c r="H41"/>
      <c r="J41"/>
    </row>
    <row r="42" spans="2:10">
      <c r="H42"/>
      <c r="J42"/>
    </row>
    <row r="43" spans="2:10">
      <c r="B43" s="4"/>
      <c r="H43"/>
      <c r="J43"/>
    </row>
    <row r="44" spans="2:10">
      <c r="B44" s="4"/>
      <c r="H44"/>
      <c r="J44"/>
    </row>
    <row r="45" spans="2:10">
      <c r="B45" s="4"/>
      <c r="H45"/>
      <c r="J45"/>
    </row>
    <row r="46" spans="2:10">
      <c r="H46"/>
      <c r="J46"/>
    </row>
    <row r="47" spans="2:10">
      <c r="D47"/>
    </row>
    <row r="48" spans="2:10">
      <c r="D48"/>
    </row>
    <row r="50" spans="2:3">
      <c r="B50" s="7"/>
      <c r="C50" s="6"/>
    </row>
    <row r="51" spans="2:3">
      <c r="B51" s="7"/>
    </row>
    <row r="52" spans="2:3">
      <c r="B52" s="7"/>
    </row>
    <row r="53" spans="2:3">
      <c r="B53" s="8"/>
    </row>
    <row r="54" spans="2:3">
      <c r="B54" s="7"/>
    </row>
    <row r="55" spans="2:3">
      <c r="B55" s="7"/>
    </row>
    <row r="56" spans="2:3">
      <c r="B56" s="7"/>
    </row>
  </sheetData>
  <mergeCells count="6">
    <mergeCell ref="A1:K1"/>
    <mergeCell ref="A5:A10"/>
    <mergeCell ref="A3:E3"/>
    <mergeCell ref="A11:A14"/>
    <mergeCell ref="G5:G10"/>
    <mergeCell ref="G11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Z92"/>
  <sheetViews>
    <sheetView tabSelected="1" topLeftCell="A45" zoomScale="70" zoomScaleNormal="70" workbookViewId="0">
      <selection activeCell="E87" sqref="E87:E92"/>
    </sheetView>
  </sheetViews>
  <sheetFormatPr defaultColWidth="9.125" defaultRowHeight="14.25"/>
  <cols>
    <col min="1" max="1" width="21.125" style="8" bestFit="1" customWidth="1"/>
    <col min="2" max="4" width="9.125" style="8"/>
    <col min="5" max="5" width="19.875" style="8" bestFit="1" customWidth="1"/>
    <col min="6" max="6" width="14" style="8" customWidth="1"/>
    <col min="7" max="7" width="12.25" style="8" bestFit="1" customWidth="1"/>
    <col min="8" max="9" width="13" style="8" bestFit="1" customWidth="1"/>
    <col min="10" max="10" width="19.75" style="8" customWidth="1"/>
    <col min="11" max="11" width="14.125" style="8" customWidth="1"/>
    <col min="12" max="12" width="9.125" style="8"/>
    <col min="13" max="13" width="12.5" style="8" bestFit="1" customWidth="1"/>
    <col min="14" max="14" width="11.5" style="8" customWidth="1"/>
    <col min="15" max="20" width="9.125" style="8"/>
    <col min="21" max="21" width="12.5" style="8" bestFit="1" customWidth="1"/>
    <col min="22" max="16384" width="9.125" style="8"/>
  </cols>
  <sheetData>
    <row r="1" spans="1:26" ht="15.75">
      <c r="A1" s="94" t="s">
        <v>27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6"/>
      <c r="Q1" s="96"/>
      <c r="R1" s="96"/>
      <c r="S1" s="96"/>
      <c r="T1" s="96"/>
      <c r="U1" s="96"/>
      <c r="V1" s="96"/>
      <c r="W1" s="96"/>
    </row>
    <row r="3" spans="1:26" ht="15">
      <c r="A3" s="90" t="s">
        <v>28</v>
      </c>
      <c r="B3" s="90"/>
      <c r="C3" s="90"/>
      <c r="E3" s="90" t="s">
        <v>7</v>
      </c>
      <c r="F3" s="90"/>
      <c r="G3" s="90"/>
      <c r="I3" s="71" t="s">
        <v>8</v>
      </c>
      <c r="J3" s="65"/>
      <c r="K3" s="65"/>
      <c r="L3" s="65"/>
      <c r="M3" s="71" t="s">
        <v>29</v>
      </c>
      <c r="N3" s="65"/>
      <c r="O3" s="65"/>
      <c r="T3" s="44"/>
      <c r="U3" s="44"/>
      <c r="V3" s="44"/>
    </row>
    <row r="4" spans="1:26">
      <c r="A4" s="8" t="s">
        <v>30</v>
      </c>
      <c r="B4" s="8">
        <v>0.35</v>
      </c>
      <c r="C4" s="8" t="s">
        <v>31</v>
      </c>
      <c r="E4" s="8" t="s">
        <v>32</v>
      </c>
      <c r="F4" s="8">
        <v>0.2</v>
      </c>
      <c r="G4" s="8" t="s">
        <v>4</v>
      </c>
      <c r="I4" s="65" t="s">
        <v>33</v>
      </c>
      <c r="J4" s="65">
        <v>0.2</v>
      </c>
      <c r="K4" s="65" t="s">
        <v>4</v>
      </c>
      <c r="L4" s="65"/>
      <c r="M4" s="65" t="s">
        <v>34</v>
      </c>
      <c r="N4" s="65" t="e">
        <f>1.5*#REF!*9.81</f>
        <v>#REF!</v>
      </c>
      <c r="O4" s="65" t="s">
        <v>35</v>
      </c>
    </row>
    <row r="5" spans="1:26">
      <c r="A5" s="8" t="s">
        <v>36</v>
      </c>
      <c r="B5" s="8">
        <v>1150</v>
      </c>
      <c r="C5" s="8" t="s">
        <v>37</v>
      </c>
      <c r="E5" s="8" t="s">
        <v>38</v>
      </c>
      <c r="F5" s="8">
        <v>1.655</v>
      </c>
      <c r="G5" s="8" t="s">
        <v>31</v>
      </c>
      <c r="I5" s="65" t="s">
        <v>39</v>
      </c>
      <c r="J5" s="65">
        <v>1.595</v>
      </c>
      <c r="K5" s="65" t="s">
        <v>31</v>
      </c>
      <c r="L5" s="65"/>
      <c r="M5" s="65" t="s">
        <v>40</v>
      </c>
      <c r="N5" s="65" t="e">
        <f>1.5*#REF!*9.81</f>
        <v>#REF!</v>
      </c>
      <c r="O5" s="65" t="s">
        <v>35</v>
      </c>
    </row>
    <row r="6" spans="1:26">
      <c r="A6" s="8" t="s">
        <v>41</v>
      </c>
      <c r="B6" s="8">
        <v>0.47</v>
      </c>
      <c r="C6" s="8" t="s">
        <v>42</v>
      </c>
      <c r="E6" s="8" t="s">
        <v>43</v>
      </c>
      <c r="F6" s="8">
        <v>7.0000000000000007E-2</v>
      </c>
      <c r="G6" s="8" t="s">
        <v>31</v>
      </c>
      <c r="I6" s="65" t="s">
        <v>44</v>
      </c>
      <c r="J6" s="65">
        <v>0.105</v>
      </c>
      <c r="K6" s="65" t="s">
        <v>31</v>
      </c>
      <c r="L6" s="65"/>
      <c r="M6" s="65" t="s">
        <v>45</v>
      </c>
      <c r="N6" s="65" t="e">
        <f>1.5*#REF!*9.81</f>
        <v>#REF!</v>
      </c>
      <c r="O6" s="65" t="s">
        <v>35</v>
      </c>
    </row>
    <row r="7" spans="1:26">
      <c r="A7" s="8" t="s">
        <v>46</v>
      </c>
      <c r="B7" s="8">
        <v>2.9249999999999998</v>
      </c>
      <c r="C7" s="8" t="s">
        <v>31</v>
      </c>
      <c r="E7" s="8" t="s">
        <v>1</v>
      </c>
      <c r="F7" s="8">
        <v>3.5000000000000003E-2</v>
      </c>
      <c r="G7" s="8" t="s">
        <v>31</v>
      </c>
      <c r="I7" s="65" t="s">
        <v>3</v>
      </c>
      <c r="J7" s="65">
        <v>0.06</v>
      </c>
      <c r="K7" s="65" t="s">
        <v>31</v>
      </c>
      <c r="L7" s="65"/>
      <c r="M7" s="65" t="s">
        <v>47</v>
      </c>
      <c r="N7" s="65" t="e">
        <f>1.5*#REF!*9.81</f>
        <v>#REF!</v>
      </c>
      <c r="O7" s="65" t="s">
        <v>35</v>
      </c>
    </row>
    <row r="8" spans="1:26">
      <c r="A8" s="8" t="s">
        <v>48</v>
      </c>
      <c r="B8" s="8">
        <v>2.5000000000000001E-2</v>
      </c>
      <c r="C8" s="8" t="s">
        <v>31</v>
      </c>
      <c r="E8" s="8" t="s">
        <v>49</v>
      </c>
      <c r="F8" s="8">
        <v>4.5999999999999999E-2</v>
      </c>
      <c r="G8" s="8" t="s">
        <v>31</v>
      </c>
      <c r="I8" s="65" t="s">
        <v>50</v>
      </c>
      <c r="J8" s="65">
        <v>2.5000000000000001E-2</v>
      </c>
      <c r="K8" s="65" t="s">
        <v>31</v>
      </c>
      <c r="L8" s="65"/>
      <c r="M8" s="65" t="s">
        <v>51</v>
      </c>
      <c r="N8" s="65">
        <v>35</v>
      </c>
      <c r="O8" s="65" t="s">
        <v>52</v>
      </c>
      <c r="T8" s="11"/>
      <c r="U8" s="11"/>
      <c r="V8" s="11"/>
    </row>
    <row r="9" spans="1:26">
      <c r="A9" s="8" t="s">
        <v>53</v>
      </c>
      <c r="B9" s="8">
        <v>1.2E-2</v>
      </c>
      <c r="C9" s="8" t="s">
        <v>31</v>
      </c>
      <c r="E9" s="8" t="s">
        <v>54</v>
      </c>
      <c r="F9" s="8">
        <v>0.45</v>
      </c>
      <c r="G9" s="8" t="s">
        <v>4</v>
      </c>
      <c r="I9" s="65" t="s">
        <v>55</v>
      </c>
      <c r="J9" s="65">
        <v>0.45</v>
      </c>
      <c r="K9" s="65" t="s">
        <v>4</v>
      </c>
      <c r="L9" s="65"/>
      <c r="M9" s="65" t="s">
        <v>56</v>
      </c>
      <c r="N9" s="65">
        <v>35</v>
      </c>
      <c r="O9" s="65" t="s">
        <v>52</v>
      </c>
      <c r="T9" s="11"/>
      <c r="U9" s="11"/>
      <c r="V9" s="11"/>
    </row>
    <row r="10" spans="1:26">
      <c r="A10" s="8" t="s">
        <v>57</v>
      </c>
      <c r="B10" s="8">
        <v>1.2E-2</v>
      </c>
      <c r="C10" s="8" t="s">
        <v>31</v>
      </c>
      <c r="E10" s="8" t="s">
        <v>58</v>
      </c>
      <c r="F10" s="8">
        <v>1</v>
      </c>
      <c r="G10" s="8" t="s">
        <v>59</v>
      </c>
      <c r="I10" s="65" t="s">
        <v>60</v>
      </c>
      <c r="J10" s="65">
        <v>1</v>
      </c>
      <c r="K10" s="65" t="s">
        <v>59</v>
      </c>
      <c r="L10" s="65"/>
      <c r="M10" s="65"/>
      <c r="N10" s="65"/>
      <c r="O10" s="65"/>
      <c r="T10" s="11"/>
      <c r="U10" s="11"/>
      <c r="V10" s="11"/>
    </row>
    <row r="11" spans="1:26" s="63" customFormat="1">
      <c r="A11" s="63" t="s">
        <v>147</v>
      </c>
      <c r="B11" s="63">
        <v>0.182</v>
      </c>
      <c r="C11" s="63" t="s">
        <v>31</v>
      </c>
      <c r="E11" s="63" t="s">
        <v>142</v>
      </c>
      <c r="F11" s="63">
        <v>299.39999999999998</v>
      </c>
      <c r="G11" s="63" t="s">
        <v>85</v>
      </c>
      <c r="I11" s="65" t="s">
        <v>143</v>
      </c>
      <c r="J11" s="65">
        <v>341.9</v>
      </c>
      <c r="K11" s="65" t="s">
        <v>85</v>
      </c>
      <c r="L11" s="65"/>
      <c r="M11" s="65"/>
      <c r="N11" s="65"/>
      <c r="O11" s="65"/>
    </row>
    <row r="12" spans="1:26" s="63" customFormat="1">
      <c r="E12" s="63" t="s">
        <v>144</v>
      </c>
      <c r="F12" s="63">
        <v>0.8</v>
      </c>
      <c r="G12" s="63" t="s">
        <v>70</v>
      </c>
      <c r="I12" s="65" t="s">
        <v>144</v>
      </c>
      <c r="J12" s="65">
        <v>0.8</v>
      </c>
      <c r="K12" s="65" t="s">
        <v>70</v>
      </c>
      <c r="L12" s="65"/>
      <c r="M12" s="65"/>
      <c r="N12" s="65"/>
      <c r="O12" s="65"/>
    </row>
    <row r="13" spans="1:26" s="63" customFormat="1">
      <c r="A13" s="63" t="s">
        <v>150</v>
      </c>
      <c r="B13" s="63">
        <v>6</v>
      </c>
      <c r="C13" s="63" t="s">
        <v>2</v>
      </c>
      <c r="E13" s="63" t="s">
        <v>145</v>
      </c>
      <c r="F13" s="63">
        <v>0.33300000000000002</v>
      </c>
      <c r="G13" s="63" t="s">
        <v>146</v>
      </c>
      <c r="I13" s="65" t="s">
        <v>145</v>
      </c>
      <c r="J13" s="65">
        <v>0.33300000000000002</v>
      </c>
      <c r="K13" s="65" t="s">
        <v>146</v>
      </c>
      <c r="L13" s="65"/>
      <c r="M13" s="65"/>
      <c r="N13" s="65"/>
      <c r="O13" s="65"/>
    </row>
    <row r="14" spans="1:26">
      <c r="B14" s="8">
        <v>10</v>
      </c>
      <c r="F14" s="64"/>
      <c r="I14" s="65"/>
      <c r="J14" s="65"/>
      <c r="K14" s="65"/>
      <c r="L14" s="65"/>
      <c r="M14" s="65"/>
      <c r="N14" s="65"/>
      <c r="O14" s="65"/>
    </row>
    <row r="15" spans="1:26" ht="15">
      <c r="E15" s="90" t="s">
        <v>61</v>
      </c>
      <c r="F15" s="90"/>
      <c r="G15" s="90"/>
      <c r="I15" s="72" t="s">
        <v>62</v>
      </c>
      <c r="J15" s="73"/>
      <c r="K15" s="74"/>
      <c r="L15" s="45"/>
      <c r="M15" s="66" t="s">
        <v>136</v>
      </c>
      <c r="N15" s="67"/>
      <c r="O15" s="68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</row>
    <row r="16" spans="1:26" ht="14.25" customHeight="1">
      <c r="A16" s="90" t="s">
        <v>132</v>
      </c>
      <c r="B16" s="90"/>
      <c r="C16" s="90"/>
      <c r="E16" s="8" t="s">
        <v>64</v>
      </c>
      <c r="F16" s="8">
        <v>1.21</v>
      </c>
      <c r="G16" s="8" t="s">
        <v>65</v>
      </c>
      <c r="I16" s="49" t="s">
        <v>127</v>
      </c>
      <c r="J16" s="50">
        <v>0</v>
      </c>
      <c r="K16" s="51" t="s">
        <v>0</v>
      </c>
      <c r="L16" s="65"/>
      <c r="M16" s="49" t="s">
        <v>127</v>
      </c>
      <c r="N16" s="50" t="s">
        <v>137</v>
      </c>
      <c r="O16" s="51" t="s">
        <v>0</v>
      </c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</row>
    <row r="17" spans="1:26" ht="14.25" customHeight="1">
      <c r="A17" s="28" t="s">
        <v>63</v>
      </c>
      <c r="B17" s="28">
        <v>2.9</v>
      </c>
      <c r="C17" s="28" t="s">
        <v>0</v>
      </c>
      <c r="E17" s="8" t="s">
        <v>69</v>
      </c>
      <c r="F17" s="8">
        <v>1.212</v>
      </c>
      <c r="G17" s="8" t="s">
        <v>70</v>
      </c>
      <c r="I17" s="52" t="s">
        <v>128</v>
      </c>
      <c r="J17" s="53">
        <v>0</v>
      </c>
      <c r="K17" s="54" t="s">
        <v>0</v>
      </c>
      <c r="L17" s="65"/>
      <c r="M17" s="52" t="s">
        <v>128</v>
      </c>
      <c r="N17" s="53" t="s">
        <v>138</v>
      </c>
      <c r="O17" s="54" t="s">
        <v>0</v>
      </c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</row>
    <row r="18" spans="1:26" ht="14.25" customHeight="1">
      <c r="A18" s="28" t="s">
        <v>67</v>
      </c>
      <c r="B18" s="28">
        <v>196</v>
      </c>
      <c r="C18" s="28" t="s">
        <v>68</v>
      </c>
      <c r="E18" s="8" t="s">
        <v>73</v>
      </c>
      <c r="F18" s="8">
        <v>1.8620000000000001</v>
      </c>
      <c r="G18" s="8" t="s">
        <v>74</v>
      </c>
      <c r="I18" s="55" t="s">
        <v>129</v>
      </c>
      <c r="J18" s="56">
        <v>0</v>
      </c>
      <c r="K18" s="57" t="s">
        <v>0</v>
      </c>
      <c r="L18" s="65"/>
      <c r="M18" s="55" t="s">
        <v>129</v>
      </c>
      <c r="N18" s="56" t="s">
        <v>139</v>
      </c>
      <c r="O18" s="57" t="s">
        <v>0</v>
      </c>
      <c r="P18" s="28"/>
      <c r="T18" s="44"/>
      <c r="U18" s="44"/>
      <c r="V18" s="44"/>
      <c r="W18" s="44"/>
      <c r="X18" s="44"/>
      <c r="Y18" s="44"/>
      <c r="Z18" s="44"/>
    </row>
    <row r="19" spans="1:26" ht="14.25" customHeight="1">
      <c r="A19" s="28" t="s">
        <v>72</v>
      </c>
      <c r="B19" s="28">
        <v>3.1</v>
      </c>
      <c r="C19" s="28" t="s">
        <v>0</v>
      </c>
      <c r="E19" s="8" t="s">
        <v>77</v>
      </c>
      <c r="F19" s="8">
        <v>0.311</v>
      </c>
      <c r="G19" s="8" t="s">
        <v>70</v>
      </c>
      <c r="I19" s="69" t="s">
        <v>30</v>
      </c>
      <c r="J19" s="24">
        <v>0.35</v>
      </c>
      <c r="K19" s="75" t="s">
        <v>31</v>
      </c>
      <c r="L19" s="65"/>
      <c r="M19" s="65"/>
      <c r="N19" s="65"/>
      <c r="O19" s="65"/>
      <c r="P19" s="28"/>
      <c r="T19" s="44"/>
      <c r="U19" s="44"/>
      <c r="V19" s="44"/>
      <c r="W19" s="44"/>
      <c r="X19" s="44"/>
      <c r="Y19" s="44"/>
      <c r="Z19" s="44"/>
    </row>
    <row r="20" spans="1:26" ht="14.25" customHeight="1">
      <c r="A20" s="28" t="s">
        <v>76</v>
      </c>
      <c r="B20" s="28">
        <v>335.1</v>
      </c>
      <c r="C20" s="28" t="s">
        <v>68</v>
      </c>
      <c r="D20" s="28">
        <v>317</v>
      </c>
      <c r="I20" s="69" t="s">
        <v>36</v>
      </c>
      <c r="J20" s="24">
        <v>1030</v>
      </c>
      <c r="K20" s="75" t="s">
        <v>37</v>
      </c>
      <c r="L20" s="65"/>
      <c r="M20" s="65"/>
      <c r="N20" s="65"/>
      <c r="O20" s="65"/>
      <c r="P20" s="28"/>
      <c r="T20" s="44"/>
      <c r="U20" s="44"/>
      <c r="V20" s="44"/>
      <c r="W20" s="44"/>
      <c r="X20" s="44"/>
      <c r="Y20" s="44"/>
      <c r="Z20" s="44"/>
    </row>
    <row r="21" spans="1:26" ht="14.25" customHeight="1">
      <c r="A21" s="28" t="s">
        <v>78</v>
      </c>
      <c r="B21" s="28">
        <v>1.5</v>
      </c>
      <c r="C21" s="28" t="s">
        <v>0</v>
      </c>
      <c r="E21" s="8" t="s">
        <v>80</v>
      </c>
      <c r="F21" s="8">
        <v>3.2</v>
      </c>
      <c r="G21" s="8" t="s">
        <v>0</v>
      </c>
      <c r="I21" s="69" t="s">
        <v>41</v>
      </c>
      <c r="J21" s="24">
        <v>0.45</v>
      </c>
      <c r="K21" s="75" t="s">
        <v>42</v>
      </c>
      <c r="L21" s="65"/>
      <c r="M21" s="65"/>
      <c r="N21" s="65"/>
      <c r="O21" s="65"/>
      <c r="P21" s="28"/>
      <c r="T21" s="44"/>
      <c r="U21" s="44"/>
      <c r="V21" s="44"/>
      <c r="W21" s="44"/>
      <c r="X21" s="44"/>
      <c r="Y21" s="44"/>
      <c r="Z21" s="44"/>
    </row>
    <row r="22" spans="1:26" s="11" customFormat="1" ht="14.25" customHeight="1">
      <c r="A22" s="28" t="s">
        <v>79</v>
      </c>
      <c r="B22" s="28">
        <v>126</v>
      </c>
      <c r="C22" s="28" t="s">
        <v>68</v>
      </c>
      <c r="D22" s="8"/>
      <c r="E22" s="11" t="s">
        <v>140</v>
      </c>
      <c r="F22" s="11">
        <v>7</v>
      </c>
      <c r="G22" s="11" t="s">
        <v>2</v>
      </c>
      <c r="I22" s="69" t="s">
        <v>46</v>
      </c>
      <c r="J22" s="24">
        <v>2.9249999999999998</v>
      </c>
      <c r="K22" s="75" t="s">
        <v>31</v>
      </c>
      <c r="L22" s="65"/>
      <c r="M22" s="65"/>
      <c r="N22" s="65"/>
      <c r="O22" s="65"/>
      <c r="P22" s="28"/>
      <c r="T22" s="44"/>
      <c r="U22" s="44"/>
      <c r="V22" s="44"/>
      <c r="W22" s="44"/>
      <c r="X22" s="44"/>
      <c r="Y22" s="44"/>
      <c r="Z22" s="44"/>
    </row>
    <row r="23" spans="1:26" s="11" customFormat="1" ht="14.25" customHeight="1">
      <c r="A23" s="28"/>
      <c r="B23" s="28"/>
      <c r="C23" s="28"/>
      <c r="E23" s="11" t="s">
        <v>141</v>
      </c>
      <c r="F23" s="11">
        <v>6</v>
      </c>
      <c r="G23" s="11" t="s">
        <v>2</v>
      </c>
      <c r="I23" s="69" t="s">
        <v>32</v>
      </c>
      <c r="J23" s="24">
        <v>1</v>
      </c>
      <c r="K23" s="75" t="s">
        <v>4</v>
      </c>
      <c r="L23" s="65"/>
      <c r="M23" s="65"/>
      <c r="N23" s="65"/>
      <c r="O23" s="65"/>
      <c r="P23" s="28"/>
      <c r="T23" s="44"/>
      <c r="U23" s="44"/>
      <c r="V23" s="44"/>
      <c r="W23" s="44"/>
      <c r="X23" s="44"/>
      <c r="Y23" s="44"/>
      <c r="Z23" s="44"/>
    </row>
    <row r="24" spans="1:26" s="11" customFormat="1" ht="14.25" customHeight="1">
      <c r="A24" s="28"/>
      <c r="B24" s="28"/>
      <c r="C24" s="28"/>
      <c r="E24" s="11" t="s">
        <v>148</v>
      </c>
      <c r="F24" s="11">
        <v>8</v>
      </c>
      <c r="G24" s="11" t="s">
        <v>2</v>
      </c>
      <c r="I24" s="69" t="s">
        <v>38</v>
      </c>
      <c r="J24" s="24">
        <v>1.655</v>
      </c>
      <c r="K24" s="75" t="s">
        <v>31</v>
      </c>
      <c r="L24" s="65"/>
      <c r="M24" s="65"/>
      <c r="N24" s="65"/>
      <c r="O24" s="65"/>
      <c r="P24" s="28"/>
      <c r="T24" s="44"/>
      <c r="U24" s="44"/>
      <c r="V24" s="44"/>
      <c r="W24" s="44"/>
      <c r="X24" s="44"/>
      <c r="Y24" s="44"/>
      <c r="Z24" s="44"/>
    </row>
    <row r="25" spans="1:26" s="11" customFormat="1" ht="14.25" customHeight="1">
      <c r="A25" s="28"/>
      <c r="B25" s="28"/>
      <c r="C25" s="28"/>
      <c r="E25" s="11" t="s">
        <v>149</v>
      </c>
      <c r="F25" s="11">
        <v>10</v>
      </c>
      <c r="G25" s="11" t="s">
        <v>2</v>
      </c>
      <c r="I25" s="69" t="s">
        <v>43</v>
      </c>
      <c r="J25" s="24">
        <v>7.0000000000000007E-2</v>
      </c>
      <c r="K25" s="75" t="s">
        <v>31</v>
      </c>
      <c r="L25" s="65"/>
      <c r="M25" s="65"/>
      <c r="N25" s="65"/>
      <c r="O25" s="65"/>
      <c r="P25" s="28"/>
      <c r="T25" s="44"/>
      <c r="U25" s="44"/>
      <c r="V25" s="44"/>
      <c r="W25" s="44"/>
      <c r="X25" s="44"/>
      <c r="Y25" s="44"/>
      <c r="Z25" s="44"/>
    </row>
    <row r="26" spans="1:26" s="11" customFormat="1" ht="14.25" customHeight="1">
      <c r="A26" s="28"/>
      <c r="B26" s="28"/>
      <c r="C26" s="28"/>
      <c r="I26" s="69" t="s">
        <v>1</v>
      </c>
      <c r="J26" s="24">
        <v>0.04</v>
      </c>
      <c r="K26" s="75" t="s">
        <v>31</v>
      </c>
      <c r="L26" s="65"/>
      <c r="M26" s="65"/>
      <c r="N26" s="65"/>
      <c r="O26" s="65"/>
      <c r="P26" s="28"/>
      <c r="T26" s="44"/>
      <c r="U26" s="44"/>
      <c r="V26" s="44"/>
      <c r="W26" s="44"/>
      <c r="X26" s="44"/>
      <c r="Y26" s="44"/>
      <c r="Z26" s="44"/>
    </row>
    <row r="27" spans="1:26" s="11" customFormat="1" ht="14.25" customHeight="1">
      <c r="A27" s="28"/>
      <c r="B27" s="28"/>
      <c r="C27" s="28"/>
      <c r="I27" s="69" t="s">
        <v>33</v>
      </c>
      <c r="J27" s="24">
        <v>1.3</v>
      </c>
      <c r="K27" s="75" t="s">
        <v>4</v>
      </c>
      <c r="L27" s="65"/>
      <c r="M27" s="65"/>
      <c r="N27" s="65"/>
      <c r="O27" s="65"/>
      <c r="P27" s="28"/>
      <c r="T27" s="44"/>
      <c r="U27" s="44"/>
      <c r="V27" s="44"/>
      <c r="W27" s="44"/>
      <c r="X27" s="44"/>
      <c r="Y27" s="44"/>
      <c r="Z27" s="44"/>
    </row>
    <row r="28" spans="1:26" s="11" customFormat="1" ht="14.25" customHeight="1">
      <c r="A28" s="28"/>
      <c r="B28" s="28"/>
      <c r="C28" s="28"/>
      <c r="I28" s="69" t="s">
        <v>39</v>
      </c>
      <c r="J28" s="24">
        <v>1.595</v>
      </c>
      <c r="K28" s="75" t="s">
        <v>31</v>
      </c>
      <c r="L28" s="65"/>
      <c r="M28" s="65"/>
      <c r="N28" s="65"/>
      <c r="O28" s="65"/>
      <c r="P28" s="28"/>
      <c r="T28" s="44"/>
      <c r="U28" s="44"/>
      <c r="V28" s="44"/>
      <c r="W28" s="44"/>
      <c r="X28" s="44"/>
      <c r="Y28" s="44"/>
      <c r="Z28" s="44"/>
    </row>
    <row r="29" spans="1:26" s="11" customFormat="1" ht="14.25" customHeight="1">
      <c r="A29" s="28"/>
      <c r="B29" s="28"/>
      <c r="C29" s="28"/>
      <c r="I29" s="69" t="s">
        <v>44</v>
      </c>
      <c r="J29" s="24">
        <v>0.105</v>
      </c>
      <c r="K29" s="75" t="s">
        <v>31</v>
      </c>
      <c r="L29" s="65"/>
      <c r="M29" s="65"/>
      <c r="N29" s="65"/>
      <c r="O29" s="65"/>
      <c r="P29" s="28"/>
      <c r="T29" s="44"/>
      <c r="U29" s="44"/>
      <c r="V29" s="44"/>
      <c r="W29" s="44"/>
      <c r="X29" s="44"/>
      <c r="Y29" s="44"/>
      <c r="Z29" s="44"/>
    </row>
    <row r="30" spans="1:26" s="11" customFormat="1" ht="14.25" customHeight="1">
      <c r="A30" s="28"/>
      <c r="B30" s="28"/>
      <c r="C30" s="28"/>
      <c r="I30" s="70" t="s">
        <v>3</v>
      </c>
      <c r="J30" s="38">
        <v>0.05</v>
      </c>
      <c r="K30" s="39" t="s">
        <v>31</v>
      </c>
      <c r="L30" s="65"/>
      <c r="M30" s="65"/>
      <c r="N30" s="65"/>
      <c r="O30" s="65"/>
      <c r="P30" s="28"/>
      <c r="T30" s="44"/>
      <c r="U30" s="44"/>
      <c r="V30" s="44"/>
      <c r="W30" s="44"/>
      <c r="X30" s="44"/>
      <c r="Y30" s="44"/>
      <c r="Z30" s="44"/>
    </row>
    <row r="31" spans="1:26" s="11" customFormat="1" ht="14.25" customHeight="1">
      <c r="N31" s="28"/>
      <c r="O31" s="28"/>
      <c r="P31" s="28"/>
      <c r="T31" s="44"/>
      <c r="U31" s="44"/>
      <c r="V31" s="44"/>
      <c r="W31" s="44"/>
      <c r="X31" s="44"/>
      <c r="Y31" s="44"/>
      <c r="Z31" s="44"/>
    </row>
    <row r="32" spans="1:26" ht="15.75">
      <c r="A32" s="94" t="s">
        <v>81</v>
      </c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6"/>
      <c r="Q32" s="96"/>
      <c r="R32" s="96"/>
      <c r="S32" s="96"/>
      <c r="T32" s="96"/>
      <c r="U32" s="96"/>
      <c r="V32" s="96"/>
      <c r="W32" s="96"/>
      <c r="X32" s="44"/>
      <c r="Y32" s="44"/>
      <c r="Z32" s="44"/>
    </row>
    <row r="33" spans="1:26" ht="14.25" customHeight="1">
      <c r="T33" s="44"/>
      <c r="U33" s="44"/>
      <c r="V33" s="44"/>
      <c r="W33" s="44"/>
      <c r="X33" s="44"/>
      <c r="Y33" s="44"/>
      <c r="Z33" s="44"/>
    </row>
    <row r="34" spans="1:26" ht="15">
      <c r="A34" s="90" t="s">
        <v>82</v>
      </c>
      <c r="B34" s="90"/>
      <c r="C34" s="90"/>
      <c r="D34" s="48"/>
      <c r="E34" s="90" t="s">
        <v>62</v>
      </c>
      <c r="F34" s="90"/>
      <c r="G34" s="90"/>
      <c r="H34" s="90"/>
      <c r="I34" s="90"/>
      <c r="J34" s="90"/>
      <c r="K34" s="90"/>
      <c r="L34" s="90"/>
      <c r="M34" s="90"/>
      <c r="N34" s="90"/>
      <c r="R34" s="46"/>
      <c r="S34" s="46"/>
      <c r="T34" s="44"/>
      <c r="U34" s="44"/>
      <c r="V34" s="44"/>
      <c r="W34" s="44"/>
      <c r="X34" s="44"/>
      <c r="Y34" s="44"/>
      <c r="Z34" s="44"/>
    </row>
    <row r="35" spans="1:26" ht="14.25" customHeight="1">
      <c r="A35" s="48" t="s">
        <v>83</v>
      </c>
      <c r="B35" s="48">
        <f>J20*9.81*J19/J23</f>
        <v>3536.5050000000001</v>
      </c>
      <c r="C35" s="48" t="s">
        <v>84</v>
      </c>
      <c r="D35" s="48"/>
      <c r="E35" s="77" t="s">
        <v>7</v>
      </c>
      <c r="F35" s="77"/>
      <c r="G35" s="77"/>
      <c r="H35" s="77"/>
      <c r="I35" s="77"/>
      <c r="J35" s="77" t="s">
        <v>8</v>
      </c>
      <c r="K35" s="77"/>
      <c r="L35" s="77"/>
      <c r="M35" s="77"/>
      <c r="N35" s="77"/>
      <c r="R35" s="28"/>
      <c r="S35" s="28"/>
      <c r="T35" s="44"/>
      <c r="U35" s="44"/>
      <c r="V35" s="44"/>
      <c r="W35" s="44"/>
      <c r="X35" s="44"/>
      <c r="Y35" s="44"/>
      <c r="Z35" s="44"/>
    </row>
    <row r="36" spans="1:26" ht="15" customHeight="1">
      <c r="A36" s="48" t="s">
        <v>86</v>
      </c>
      <c r="B36" s="48">
        <f>J20*9.81*J19/J27</f>
        <v>2720.3884615384613</v>
      </c>
      <c r="C36" s="48" t="s">
        <v>84</v>
      </c>
      <c r="D36" s="48"/>
      <c r="F36" s="7" t="s">
        <v>9</v>
      </c>
      <c r="G36" s="8" t="s">
        <v>10</v>
      </c>
      <c r="H36" s="8" t="s">
        <v>11</v>
      </c>
      <c r="I36" s="8" t="s">
        <v>12</v>
      </c>
      <c r="K36" s="7" t="s">
        <v>9</v>
      </c>
      <c r="L36" s="8" t="s">
        <v>10</v>
      </c>
      <c r="M36" s="8" t="s">
        <v>11</v>
      </c>
      <c r="N36" s="8" t="s">
        <v>12</v>
      </c>
      <c r="R36" s="47"/>
      <c r="S36" s="47"/>
      <c r="T36" s="44"/>
      <c r="U36" s="44"/>
      <c r="V36" s="44"/>
      <c r="W36" s="44"/>
      <c r="X36" s="44"/>
      <c r="Y36" s="44"/>
      <c r="Z36" s="44"/>
    </row>
    <row r="37" spans="1:26" ht="14.25" customHeight="1">
      <c r="A37" s="48" t="s">
        <v>88</v>
      </c>
      <c r="B37" s="48">
        <f>J22*J21</f>
        <v>1.3162499999999999</v>
      </c>
      <c r="C37" s="48" t="s">
        <v>31</v>
      </c>
      <c r="D37" s="48"/>
      <c r="E37" s="85" t="s">
        <v>90</v>
      </c>
      <c r="F37" s="25" t="s">
        <v>14</v>
      </c>
      <c r="G37" s="23">
        <f>('Pick-up Points'!C11-'Pick-up Points'!C5)/1000</f>
        <v>-1.3350000000000008E-2</v>
      </c>
      <c r="H37" s="23">
        <f>('Pick-up Points'!D11-'Pick-up Points'!D5)/1000</f>
        <v>0.38638000000000006</v>
      </c>
      <c r="I37" s="23">
        <f>('Pick-up Points'!E11-'Pick-up Points'!E5)/1000</f>
        <v>0.11835000000000002</v>
      </c>
      <c r="J37" s="79" t="s">
        <v>90</v>
      </c>
      <c r="K37" s="29" t="s">
        <v>14</v>
      </c>
      <c r="L37" s="32">
        <f>('Pick-up Points'!I11-'Pick-up Points'!I5)/1000</f>
        <v>-6.6380000000000106E-2</v>
      </c>
      <c r="M37" s="33">
        <f>('Pick-up Points'!J11-'Pick-up Points'!J5)/1000</f>
        <v>0.46980999999999995</v>
      </c>
      <c r="N37" s="34">
        <f>('Pick-up Points'!K11-'Pick-up Points'!K5)/1000</f>
        <v>0.10703000000000003</v>
      </c>
      <c r="R37" s="47"/>
      <c r="S37" s="47"/>
      <c r="T37" s="44"/>
      <c r="U37" s="44"/>
      <c r="V37" s="44"/>
      <c r="W37" s="44"/>
      <c r="X37" s="44"/>
      <c r="Y37" s="44"/>
      <c r="Z37" s="44"/>
    </row>
    <row r="38" spans="1:26" ht="14.25" customHeight="1">
      <c r="A38" s="48" t="s">
        <v>91</v>
      </c>
      <c r="B38" s="48">
        <f>J22*(1-J21)</f>
        <v>1.6087500000000001</v>
      </c>
      <c r="C38" s="48" t="s">
        <v>31</v>
      </c>
      <c r="D38" s="48"/>
      <c r="E38" s="86"/>
      <c r="F38" s="26" t="s">
        <v>15</v>
      </c>
      <c r="G38" s="24">
        <f>('Pick-up Points'!C11-'Pick-up Points'!C6)/1000</f>
        <v>-0.31335000000000002</v>
      </c>
      <c r="H38" s="24">
        <f>('Pick-up Points'!D11-'Pick-up Points'!D6)/1000</f>
        <v>0.38638000000000006</v>
      </c>
      <c r="I38" s="24">
        <f>('Pick-up Points'!E11-'Pick-up Points'!E6)/1000</f>
        <v>0.13874</v>
      </c>
      <c r="J38" s="80"/>
      <c r="K38" s="30" t="s">
        <v>15</v>
      </c>
      <c r="L38" s="35">
        <f>('Pick-up Points'!I11-'Pick-up Points'!I6)/1000</f>
        <v>-0.46638000000000013</v>
      </c>
      <c r="M38" s="24">
        <f>('Pick-up Points'!J11-'Pick-up Points'!J6)/1000</f>
        <v>0.46980999999999995</v>
      </c>
      <c r="N38" s="36">
        <f>('Pick-up Points'!K11-'Pick-up Points'!K6)/1000</f>
        <v>0.24356999999999998</v>
      </c>
      <c r="R38" s="47"/>
      <c r="S38" s="47"/>
      <c r="T38" s="44"/>
      <c r="U38" s="44"/>
      <c r="V38" s="44"/>
      <c r="W38" s="44"/>
      <c r="X38" s="44"/>
      <c r="Y38" s="44"/>
      <c r="Z38" s="44"/>
    </row>
    <row r="39" spans="1:26" ht="14.25" customHeight="1">
      <c r="A39" s="48" t="s">
        <v>93</v>
      </c>
      <c r="B39" s="48">
        <f>J25*B37/J22+J29*B38/J22</f>
        <v>8.9249999999999996E-2</v>
      </c>
      <c r="C39" s="48" t="s">
        <v>31</v>
      </c>
      <c r="D39" s="48"/>
      <c r="E39" s="86"/>
      <c r="F39" s="26" t="s">
        <v>16</v>
      </c>
      <c r="G39" s="24">
        <f>('Pick-up Points'!C12-'Pick-up Points'!C7)/1000</f>
        <v>-6.6380000000000008E-2</v>
      </c>
      <c r="H39" s="24">
        <f>('Pick-up Points'!D12-'Pick-up Points'!D7)/1000</f>
        <v>0.43340000000000001</v>
      </c>
      <c r="I39" s="24">
        <f>('Pick-up Points'!E12-'Pick-up Points'!E7)/1000</f>
        <v>5.8459999999999977E-2</v>
      </c>
      <c r="J39" s="80"/>
      <c r="K39" s="30" t="s">
        <v>16</v>
      </c>
      <c r="L39" s="35">
        <f>('Pick-up Points'!I12-'Pick-up Points'!I7)/1000</f>
        <v>4.013999999999987E-2</v>
      </c>
      <c r="M39" s="24">
        <f>('Pick-up Points'!J12-'Pick-up Points'!J7)/1000</f>
        <v>0.51761999999999997</v>
      </c>
      <c r="N39" s="36">
        <f>('Pick-up Points'!K12-'Pick-up Points'!K7)/1000</f>
        <v>4.6200000000000019E-2</v>
      </c>
      <c r="R39" s="47"/>
      <c r="S39" s="47"/>
      <c r="T39" s="44"/>
      <c r="U39" s="44"/>
      <c r="V39" s="44"/>
      <c r="W39" s="44"/>
      <c r="X39" s="44"/>
      <c r="Y39" s="44"/>
      <c r="Z39" s="44"/>
    </row>
    <row r="40" spans="1:26" ht="14.25" customHeight="1">
      <c r="A40" s="48" t="s">
        <v>94</v>
      </c>
      <c r="B40" s="48">
        <f>J20*B37/J22</f>
        <v>463.5</v>
      </c>
      <c r="C40" s="48" t="s">
        <v>37</v>
      </c>
      <c r="D40" s="48"/>
      <c r="E40" s="86"/>
      <c r="F40" s="26" t="s">
        <v>17</v>
      </c>
      <c r="G40" s="24">
        <f>('Pick-up Points'!C12-'Pick-up Points'!C8)/1000</f>
        <v>-0.36637999999999998</v>
      </c>
      <c r="H40" s="24">
        <f>('Pick-up Points'!D12-'Pick-up Points'!D8)/1000</f>
        <v>0.43340000000000001</v>
      </c>
      <c r="I40" s="24">
        <f>('Pick-up Points'!E12-'Pick-up Points'!E8)/1000</f>
        <v>6.1639999999999986E-2</v>
      </c>
      <c r="J40" s="80"/>
      <c r="K40" s="30" t="s">
        <v>17</v>
      </c>
      <c r="L40" s="35">
        <f>('Pick-up Points'!I12-'Pick-up Points'!I8)/1000</f>
        <v>-0.35986000000000012</v>
      </c>
      <c r="M40" s="24">
        <f>('Pick-up Points'!J12-'Pick-up Points'!J8)/1000</f>
        <v>0.51761999999999997</v>
      </c>
      <c r="N40" s="36">
        <f>('Pick-up Points'!K12-'Pick-up Points'!K8)/1000</f>
        <v>-7.5259999999999994E-2</v>
      </c>
      <c r="R40" s="47"/>
      <c r="S40" s="47"/>
      <c r="T40" s="44"/>
      <c r="U40" s="44"/>
      <c r="V40" s="44"/>
      <c r="W40" s="44"/>
      <c r="X40" s="44"/>
      <c r="Y40" s="44"/>
      <c r="Z40" s="44"/>
    </row>
    <row r="41" spans="1:26" ht="14.25" customHeight="1">
      <c r="A41" s="48" t="s">
        <v>96</v>
      </c>
      <c r="B41" s="48">
        <f>J20*B38/J22</f>
        <v>566.5</v>
      </c>
      <c r="C41" s="48" t="s">
        <v>37</v>
      </c>
      <c r="D41" s="48"/>
      <c r="E41" s="86"/>
      <c r="F41" s="26" t="s">
        <v>18</v>
      </c>
      <c r="G41" s="24">
        <f>('Pick-up Points'!C13-'Pick-up Points'!C9)/1000</f>
        <v>0</v>
      </c>
      <c r="H41" s="24">
        <f>('Pick-up Points'!D13-'Pick-up Points'!D9)/1000</f>
        <v>0.2</v>
      </c>
      <c r="I41" s="24">
        <f>('Pick-up Points'!E13-'Pick-up Points'!E9)/1000</f>
        <v>-0.34641000000000005</v>
      </c>
      <c r="J41" s="80"/>
      <c r="K41" s="30" t="s">
        <v>18</v>
      </c>
      <c r="L41" s="35">
        <f>('Pick-up Points'!I13-'Pick-up Points'!I9)/1000</f>
        <v>0</v>
      </c>
      <c r="M41" s="24">
        <f>('Pick-up Points'!J13-'Pick-up Points'!J9)/1000</f>
        <v>0.42131999999999997</v>
      </c>
      <c r="N41" s="36">
        <f>('Pick-up Points'!K13-'Pick-up Points'!K9)/1000</f>
        <v>-0.35354000000000002</v>
      </c>
      <c r="R41" s="47"/>
      <c r="S41" s="47"/>
      <c r="T41" s="44"/>
      <c r="U41" s="44"/>
      <c r="V41" s="44"/>
      <c r="W41" s="44"/>
      <c r="X41" s="44"/>
      <c r="Y41" s="44"/>
      <c r="Z41" s="44"/>
    </row>
    <row r="42" spans="1:26" ht="14.25" customHeight="1">
      <c r="A42" s="48" t="s">
        <v>87</v>
      </c>
      <c r="B42" s="48">
        <f>(J17*J20/J24)*((J19-B39)*B35/(B35+B36)-B38/J22*J25)</f>
        <v>0</v>
      </c>
      <c r="C42" s="48" t="s">
        <v>37</v>
      </c>
      <c r="D42" s="48"/>
      <c r="E42" s="97"/>
      <c r="F42" s="27" t="s">
        <v>19</v>
      </c>
      <c r="G42" s="24">
        <f>('Pick-up Points'!C14-'Pick-up Points'!C10)/1000</f>
        <v>0</v>
      </c>
      <c r="H42" s="24">
        <f>('Pick-up Points'!D14-'Pick-up Points'!D10)/1000</f>
        <v>0.37653999999999999</v>
      </c>
      <c r="I42" s="24">
        <f>('Pick-up Points'!E14-'Pick-up Points'!E10)/1000</f>
        <v>0</v>
      </c>
      <c r="J42" s="81"/>
      <c r="K42" s="30" t="s">
        <v>19</v>
      </c>
      <c r="L42" s="37">
        <f>('Pick-up Points'!I14-'Pick-up Points'!I10)/1000</f>
        <v>0</v>
      </c>
      <c r="M42" s="38">
        <f>('Pick-up Points'!J14-'Pick-up Points'!J10)/1000</f>
        <v>0.54749999999999999</v>
      </c>
      <c r="N42" s="39">
        <f>('Pick-up Points'!K14-'Pick-up Points'!K10)/1000</f>
        <v>0</v>
      </c>
      <c r="R42" s="47"/>
      <c r="S42" s="47"/>
      <c r="T42" s="44"/>
      <c r="U42" s="44"/>
      <c r="V42" s="44"/>
      <c r="W42" s="44"/>
      <c r="X42" s="44"/>
      <c r="Y42" s="44"/>
      <c r="Z42" s="44"/>
    </row>
    <row r="43" spans="1:26" ht="14.25" customHeight="1">
      <c r="A43" s="48" t="s">
        <v>89</v>
      </c>
      <c r="B43" s="48">
        <f>(J17*J20/J28)*((J19-B39)*B36/(B35+B36)-B37/J22*J29)</f>
        <v>0</v>
      </c>
      <c r="C43" s="48" t="s">
        <v>37</v>
      </c>
      <c r="D43" s="48"/>
      <c r="E43" s="85" t="s">
        <v>97</v>
      </c>
      <c r="F43" s="30" t="s">
        <v>14</v>
      </c>
      <c r="G43" s="32">
        <f t="array" ref="G43:I43">Unit_Vector(G37:I37)</f>
        <v>-3.3018422777077248E-2</v>
      </c>
      <c r="H43" s="33">
        <v>0.95562982716158063</v>
      </c>
      <c r="I43" s="34">
        <v>0.29271388282150496</v>
      </c>
      <c r="J43" s="91" t="s">
        <v>97</v>
      </c>
      <c r="K43" s="29" t="s">
        <v>14</v>
      </c>
      <c r="L43" s="32" cm="1">
        <f t="array" ref="L43:N43">Unit_Vector(L37:N37)</f>
        <v>-0.13647255823026505</v>
      </c>
      <c r="M43" s="33">
        <v>0.96589594127991441</v>
      </c>
      <c r="N43" s="34">
        <v>0.22004606669757834</v>
      </c>
      <c r="R43" s="47"/>
      <c r="S43" s="47"/>
      <c r="T43" s="44"/>
      <c r="U43" s="44"/>
      <c r="V43" s="44"/>
      <c r="W43" s="44"/>
      <c r="X43" s="44"/>
      <c r="Y43" s="44"/>
      <c r="Z43" s="44"/>
    </row>
    <row r="44" spans="1:26" ht="14.25" customHeight="1">
      <c r="A44" s="48" t="s">
        <v>92</v>
      </c>
      <c r="B44" s="48">
        <f>B40/2+B42+Y35*Y19/2/9.81</f>
        <v>231.75</v>
      </c>
      <c r="C44" s="48" t="s">
        <v>37</v>
      </c>
      <c r="D44" s="48"/>
      <c r="E44" s="86"/>
      <c r="F44" s="30" t="s">
        <v>15</v>
      </c>
      <c r="G44" s="35">
        <f t="array" ref="G44:I44">Unit_Vector(G38:I38)</f>
        <v>-0.60673158539139072</v>
      </c>
      <c r="H44" s="24">
        <v>0.7481377053247984</v>
      </c>
      <c r="I44" s="36">
        <v>0.26863871120855765</v>
      </c>
      <c r="J44" s="91"/>
      <c r="K44" s="30" t="s">
        <v>15</v>
      </c>
      <c r="L44" s="35" cm="1">
        <f t="array" ref="L44:N44">Unit_Vector(L38:N38)</f>
        <v>-0.66117743616555202</v>
      </c>
      <c r="M44" s="24">
        <v>0.66604007737239568</v>
      </c>
      <c r="N44" s="36">
        <v>0.34530423287200018</v>
      </c>
      <c r="R44" s="47"/>
      <c r="S44" s="47"/>
      <c r="T44" s="44"/>
      <c r="U44" s="44"/>
      <c r="V44" s="44"/>
      <c r="W44" s="44"/>
      <c r="X44" s="44"/>
      <c r="Y44" s="44"/>
      <c r="Z44" s="44"/>
    </row>
    <row r="45" spans="1:26" ht="14.25" customHeight="1">
      <c r="A45" s="48" t="s">
        <v>95</v>
      </c>
      <c r="B45" s="48">
        <f>B41/2+B43+Y35*(1-Y19)/2/9.81</f>
        <v>283.25</v>
      </c>
      <c r="C45" s="48" t="s">
        <v>37</v>
      </c>
      <c r="D45" s="48"/>
      <c r="E45" s="86"/>
      <c r="F45" s="30" t="s">
        <v>16</v>
      </c>
      <c r="G45" s="35">
        <f t="array" ref="G45:I45">Unit_Vector(G39:I39)</f>
        <v>-0.15006756973179061</v>
      </c>
      <c r="H45" s="24">
        <v>0.97980242123769279</v>
      </c>
      <c r="I45" s="36">
        <v>0.13216255086653322</v>
      </c>
      <c r="J45" s="91"/>
      <c r="K45" s="30" t="s">
        <v>16</v>
      </c>
      <c r="L45" s="35" cm="1">
        <f t="array" ref="L45:N45">Unit_Vector(L39:N39)</f>
        <v>7.7010799459569942E-2</v>
      </c>
      <c r="M45" s="24">
        <v>0.99308246179030202</v>
      </c>
      <c r="N45" s="36">
        <v>8.8637243025215362E-2</v>
      </c>
      <c r="R45" s="47"/>
      <c r="S45" s="47"/>
      <c r="T45" s="44"/>
      <c r="U45" s="44"/>
      <c r="V45" s="44"/>
      <c r="W45" s="44"/>
      <c r="X45" s="44"/>
      <c r="Y45" s="44"/>
      <c r="Z45" s="44"/>
    </row>
    <row r="46" spans="1:26" ht="14.25" customHeight="1">
      <c r="A46" s="24"/>
      <c r="B46" s="24"/>
      <c r="C46" s="24"/>
      <c r="D46" s="48"/>
      <c r="E46" s="86"/>
      <c r="F46" s="30" t="s">
        <v>17</v>
      </c>
      <c r="G46" s="35">
        <f t="array" ref="G46:I46">Unit_Vector(G40:I40)</f>
        <v>-0.64181520041182749</v>
      </c>
      <c r="H46" s="24">
        <v>0.75921913821301945</v>
      </c>
      <c r="I46" s="36">
        <v>0.10797939012332834</v>
      </c>
      <c r="J46" s="91"/>
      <c r="K46" s="30" t="s">
        <v>17</v>
      </c>
      <c r="L46" s="35" cm="1">
        <f t="array" ref="L46:N46">Unit_Vector(L40:N40)</f>
        <v>-0.56680091483382733</v>
      </c>
      <c r="M46" s="24">
        <v>0.81528230294082582</v>
      </c>
      <c r="N46" s="36">
        <v>-0.11853897863167294</v>
      </c>
      <c r="R46" s="47"/>
      <c r="S46" s="47"/>
      <c r="T46" s="44"/>
      <c r="U46" s="44"/>
      <c r="V46" s="44"/>
      <c r="W46" s="44"/>
      <c r="X46" s="44"/>
      <c r="Y46" s="44"/>
      <c r="Z46" s="44"/>
    </row>
    <row r="47" spans="1:26" ht="15">
      <c r="A47" s="48" t="s">
        <v>130</v>
      </c>
      <c r="B47" s="48">
        <f>J19/J22*J20*J16</f>
        <v>0</v>
      </c>
      <c r="C47" s="48" t="s">
        <v>37</v>
      </c>
      <c r="D47" s="48"/>
      <c r="E47" s="86"/>
      <c r="F47" s="30" t="s">
        <v>18</v>
      </c>
      <c r="G47" s="35">
        <f t="array" ref="G47:I47">Unit_Vector(G41:I41)</f>
        <v>0</v>
      </c>
      <c r="H47" s="24">
        <v>0.50000017484384174</v>
      </c>
      <c r="I47" s="36">
        <v>-0.86602530283827606</v>
      </c>
      <c r="J47" s="91"/>
      <c r="K47" s="30" t="s">
        <v>18</v>
      </c>
      <c r="L47" s="35" cm="1">
        <f t="array" ref="L47:N47">Unit_Vector(L41:N41)</f>
        <v>0</v>
      </c>
      <c r="M47" s="24">
        <v>0.76603500376716727</v>
      </c>
      <c r="N47" s="36">
        <v>-0.6427988589002287</v>
      </c>
      <c r="R47" s="47"/>
      <c r="S47" s="47"/>
      <c r="T47" s="44"/>
      <c r="U47" s="44"/>
      <c r="V47" s="44"/>
      <c r="W47" s="44"/>
      <c r="X47" s="44"/>
      <c r="Y47" s="44"/>
      <c r="Z47" s="44"/>
    </row>
    <row r="48" spans="1:26" ht="14.25" customHeight="1">
      <c r="A48" s="48" t="s">
        <v>94</v>
      </c>
      <c r="B48" s="48">
        <f>B40-B47+Y48*Y19/9.81</f>
        <v>463.5</v>
      </c>
      <c r="C48" s="48" t="s">
        <v>37</v>
      </c>
      <c r="D48" s="48"/>
      <c r="E48" s="97"/>
      <c r="F48" s="31" t="s">
        <v>19</v>
      </c>
      <c r="G48" s="37">
        <f t="array" ref="G48:I48">Unit_Vector(G42:I42)</f>
        <v>0</v>
      </c>
      <c r="H48" s="38">
        <v>1</v>
      </c>
      <c r="I48" s="39">
        <v>0</v>
      </c>
      <c r="J48" s="92"/>
      <c r="K48" s="31" t="s">
        <v>19</v>
      </c>
      <c r="L48" s="37" cm="1">
        <f t="array" ref="L48:N48">Unit_Vector(L42:N42)</f>
        <v>0</v>
      </c>
      <c r="M48" s="38">
        <v>1</v>
      </c>
      <c r="N48" s="39">
        <v>0</v>
      </c>
      <c r="R48" s="47"/>
      <c r="S48" s="47"/>
      <c r="T48" s="44"/>
      <c r="U48" s="44"/>
      <c r="V48" s="44"/>
      <c r="W48" s="44"/>
      <c r="X48" s="44"/>
      <c r="Y48" s="44"/>
      <c r="Z48" s="44"/>
    </row>
    <row r="49" spans="1:26" ht="15" customHeight="1">
      <c r="A49" s="48" t="s">
        <v>96</v>
      </c>
      <c r="B49" s="48">
        <f>B41+B47+Y48*(1-Y19)/9.81</f>
        <v>566.5</v>
      </c>
      <c r="C49" s="48" t="s">
        <v>37</v>
      </c>
      <c r="D49" s="48"/>
      <c r="F49" s="8" t="s">
        <v>98</v>
      </c>
      <c r="G49" s="8">
        <f>'Pick-up Points'!C16/1000</f>
        <v>0</v>
      </c>
      <c r="H49" s="11">
        <f>'Pick-up Points'!D16/1000</f>
        <v>0.83274999999999999</v>
      </c>
      <c r="I49" s="11">
        <f>'Pick-up Points'!E16/1000</f>
        <v>0</v>
      </c>
      <c r="K49" s="8" t="s">
        <v>98</v>
      </c>
      <c r="L49" s="8">
        <f>'Pick-up Points'!I16/1000</f>
        <v>3.15</v>
      </c>
      <c r="M49" s="8">
        <f>'Pick-up Points'!J16/1000</f>
        <v>0.81529999999999991</v>
      </c>
      <c r="N49" s="8">
        <f>'Pick-up Points'!K16/1000</f>
        <v>0</v>
      </c>
      <c r="R49" s="47"/>
      <c r="S49" s="47"/>
      <c r="T49" s="44"/>
      <c r="U49" s="44"/>
      <c r="V49" s="44"/>
      <c r="W49" s="44"/>
      <c r="X49" s="44"/>
      <c r="Y49" s="44"/>
      <c r="Z49" s="44"/>
    </row>
    <row r="50" spans="1:26" ht="14.25" customHeight="1">
      <c r="A50" s="24"/>
      <c r="B50" s="24"/>
      <c r="C50" s="24"/>
      <c r="D50" s="48"/>
      <c r="E50" s="85" t="s">
        <v>99</v>
      </c>
      <c r="F50" s="29" t="s">
        <v>14</v>
      </c>
      <c r="G50" s="32">
        <f>'Pick-up Points'!C5/1000-B$70</f>
        <v>7.5260000000000007E-2</v>
      </c>
      <c r="H50" s="33">
        <f>'Pick-up Points'!D5/1000-C$70</f>
        <v>0.35281000000000001</v>
      </c>
      <c r="I50" s="34">
        <f>'Pick-up Points'!E5/1000-D$70</f>
        <v>0.32306999999999997</v>
      </c>
      <c r="J50" s="85" t="s">
        <v>99</v>
      </c>
      <c r="K50" s="29" t="s">
        <v>14</v>
      </c>
      <c r="L50" s="32">
        <f>'Pick-up Points'!I5/1000-Calcs!B$71</f>
        <v>3.0449999999999999</v>
      </c>
      <c r="M50" s="33">
        <f>'Pick-up Points'!J5/1000-Calcs!C$71</f>
        <v>0.25</v>
      </c>
      <c r="N50" s="34">
        <f>'Pick-up Points'!K5/1000-Calcs!D$71</f>
        <v>0.25908999999999999</v>
      </c>
      <c r="R50" s="47"/>
      <c r="S50" s="47"/>
      <c r="T50" s="44"/>
      <c r="U50" s="44"/>
      <c r="V50" s="44"/>
      <c r="W50" s="44"/>
      <c r="X50" s="44"/>
      <c r="Y50" s="44"/>
      <c r="Z50" s="44"/>
    </row>
    <row r="51" spans="1:26" ht="14.25" customHeight="1">
      <c r="A51" s="24" t="s">
        <v>133</v>
      </c>
      <c r="B51" s="24">
        <f>I61/(9.81*J20)</f>
        <v>0.22500000000000001</v>
      </c>
      <c r="C51" s="24" t="s">
        <v>70</v>
      </c>
      <c r="D51" s="48"/>
      <c r="E51" s="86"/>
      <c r="F51" s="30" t="s">
        <v>15</v>
      </c>
      <c r="G51" s="35">
        <f>'Pick-up Points'!C6/1000-B$70</f>
        <v>0.37525999999999998</v>
      </c>
      <c r="H51" s="24">
        <f>'Pick-up Points'!D6/1000-C$70</f>
        <v>0.35281000000000001</v>
      </c>
      <c r="I51" s="36">
        <f>'Pick-up Points'!E6/1000-D$70</f>
        <v>0.30268</v>
      </c>
      <c r="J51" s="86"/>
      <c r="K51" s="30" t="s">
        <v>15</v>
      </c>
      <c r="L51" s="35">
        <f>'Pick-up Points'!I6/1000-Calcs!B$71</f>
        <v>3.4449999999999998</v>
      </c>
      <c r="M51" s="24">
        <f>'Pick-up Points'!J6/1000-Calcs!C$71</f>
        <v>0.25</v>
      </c>
      <c r="N51" s="36">
        <f>'Pick-up Points'!K6/1000-Calcs!D$71</f>
        <v>0.12254999999999999</v>
      </c>
      <c r="R51" s="47"/>
      <c r="S51" s="47"/>
      <c r="T51" s="44"/>
      <c r="U51" s="44"/>
      <c r="V51" s="44"/>
      <c r="W51" s="44"/>
      <c r="X51" s="44"/>
      <c r="Y51" s="44"/>
      <c r="Z51" s="44"/>
    </row>
    <row r="52" spans="1:26" ht="14.25" customHeight="1">
      <c r="A52" s="24" t="s">
        <v>134</v>
      </c>
      <c r="B52" s="24">
        <f>N61/(9.81*J20)</f>
        <v>0.27500000000000002</v>
      </c>
      <c r="C52" s="24" t="s">
        <v>70</v>
      </c>
      <c r="D52" s="48"/>
      <c r="E52" s="86"/>
      <c r="F52" s="30" t="s">
        <v>16</v>
      </c>
      <c r="G52" s="35">
        <f>'Pick-up Points'!C7/1000-B$70</f>
        <v>7.5260000000000007E-2</v>
      </c>
      <c r="H52" s="24">
        <f>'Pick-up Points'!D7/1000-C$70</f>
        <v>0.35281000000000001</v>
      </c>
      <c r="I52" s="36">
        <f>'Pick-up Points'!E7/1000-D$70</f>
        <v>0.15327000000000002</v>
      </c>
      <c r="J52" s="86"/>
      <c r="K52" s="30" t="s">
        <v>16</v>
      </c>
      <c r="L52" s="35">
        <f>'Pick-up Points'!I7/1000-Calcs!B$71</f>
        <v>3.0449999999999999</v>
      </c>
      <c r="M52" s="24">
        <f>'Pick-up Points'!J7/1000-Calcs!C$71</f>
        <v>0.25</v>
      </c>
      <c r="N52" s="36">
        <f>'Pick-up Points'!K7/1000-Calcs!D$71</f>
        <v>0.13541999999999998</v>
      </c>
      <c r="R52" s="47"/>
      <c r="S52" s="47"/>
      <c r="T52" s="44"/>
      <c r="U52" s="44"/>
      <c r="V52" s="44"/>
      <c r="W52" s="44"/>
      <c r="X52" s="44"/>
      <c r="Y52" s="44"/>
      <c r="Z52" s="44"/>
    </row>
    <row r="53" spans="1:26" ht="14.25" customHeight="1">
      <c r="A53" s="24"/>
      <c r="B53" s="24"/>
      <c r="C53" s="24"/>
      <c r="D53" s="48"/>
      <c r="E53" s="86"/>
      <c r="F53" s="30" t="s">
        <v>17</v>
      </c>
      <c r="G53" s="35">
        <f>'Pick-up Points'!C8/1000-B$70</f>
        <v>0.37525999999999998</v>
      </c>
      <c r="H53" s="24">
        <f>'Pick-up Points'!D8/1000-C$70</f>
        <v>0.35281000000000001</v>
      </c>
      <c r="I53" s="36">
        <f>'Pick-up Points'!E8/1000-D$70</f>
        <v>0.15009</v>
      </c>
      <c r="J53" s="86"/>
      <c r="K53" s="30" t="s">
        <v>17</v>
      </c>
      <c r="L53" s="35">
        <f>'Pick-up Points'!I8/1000-Calcs!B$71</f>
        <v>3.4449999999999998</v>
      </c>
      <c r="M53" s="24">
        <f>'Pick-up Points'!J8/1000-Calcs!C$71</f>
        <v>0.25</v>
      </c>
      <c r="N53" s="36">
        <f>'Pick-up Points'!K8/1000-Calcs!D$71</f>
        <v>0.25688</v>
      </c>
      <c r="R53" s="47"/>
      <c r="S53" s="47"/>
      <c r="T53" s="44"/>
      <c r="U53" s="44"/>
      <c r="V53" s="44"/>
      <c r="W53" s="44"/>
      <c r="X53" s="44"/>
      <c r="Y53" s="44"/>
      <c r="Z53" s="44"/>
    </row>
    <row r="54" spans="1:26" ht="14.25" customHeight="1">
      <c r="A54" s="24" t="s">
        <v>135</v>
      </c>
      <c r="B54" s="24">
        <f>'Pick-up Points'!K15/1000*0.97</f>
        <v>0.34493200000000002</v>
      </c>
      <c r="C54" s="24" t="s">
        <v>31</v>
      </c>
      <c r="D54" s="48"/>
      <c r="E54" s="86"/>
      <c r="F54" s="30" t="s">
        <v>18</v>
      </c>
      <c r="G54" s="35">
        <f>'Pick-up Points'!C9/1000-B$70</f>
        <v>0</v>
      </c>
      <c r="H54" s="24">
        <f>'Pick-up Points'!D9/1000-C$70</f>
        <v>0.48799999999999999</v>
      </c>
      <c r="I54" s="36">
        <f>'Pick-up Points'!E9/1000-D$70</f>
        <v>0.23243</v>
      </c>
      <c r="J54" s="86"/>
      <c r="K54" s="30" t="s">
        <v>18</v>
      </c>
      <c r="L54" s="35">
        <f>'Pick-up Points'!I9/1000-Calcs!B$71</f>
        <v>3.15</v>
      </c>
      <c r="M54" s="24">
        <f>'Pick-up Points'!J9/1000-Calcs!C$71</f>
        <v>0.15393000000000001</v>
      </c>
      <c r="N54" s="36">
        <f>'Pick-up Points'!K9/1000-Calcs!D$71</f>
        <v>0.18443000000000001</v>
      </c>
      <c r="R54" s="47"/>
      <c r="S54" s="47"/>
      <c r="T54" s="44"/>
      <c r="U54" s="44"/>
      <c r="V54" s="44"/>
      <c r="W54" s="44"/>
      <c r="X54" s="44"/>
      <c r="Y54" s="44"/>
      <c r="Z54" s="44"/>
    </row>
    <row r="55" spans="1:26" ht="15">
      <c r="A55" s="48"/>
      <c r="B55" s="48"/>
      <c r="C55" s="48"/>
      <c r="D55" s="48"/>
      <c r="E55" s="97"/>
      <c r="F55" s="30" t="s">
        <v>19</v>
      </c>
      <c r="G55" s="37">
        <f>'Pick-up Points'!C10/1000-B$70</f>
        <v>-0.16986999999999999</v>
      </c>
      <c r="H55" s="38">
        <f>'Pick-up Points'!D10/1000-C$70</f>
        <v>0.45623000000000002</v>
      </c>
      <c r="I55" s="39">
        <f>'Pick-up Points'!E10/1000-D$70</f>
        <v>0.35560000000000003</v>
      </c>
      <c r="J55" s="86"/>
      <c r="K55" s="30" t="s">
        <v>19</v>
      </c>
      <c r="L55" s="37">
        <f>'Pick-up Points'!I10/1000-Calcs!B$71</f>
        <v>3.3</v>
      </c>
      <c r="M55" s="38">
        <f>'Pick-up Points'!J10/1000-Calcs!C$71</f>
        <v>0.25</v>
      </c>
      <c r="N55" s="39">
        <f>'Pick-up Points'!K10/1000-Calcs!D$71</f>
        <v>0.35560000000000003</v>
      </c>
      <c r="R55" s="47"/>
      <c r="S55" s="47"/>
      <c r="T55" s="44"/>
      <c r="U55" s="44"/>
      <c r="V55" s="44"/>
      <c r="W55" s="44"/>
      <c r="X55" s="44"/>
      <c r="Y55" s="44"/>
      <c r="Z55" s="44"/>
    </row>
    <row r="56" spans="1:26" ht="14.25" customHeight="1">
      <c r="A56" s="48"/>
      <c r="B56" s="48"/>
      <c r="C56" s="48"/>
      <c r="D56" s="48"/>
      <c r="E56" s="85" t="s">
        <v>98</v>
      </c>
      <c r="F56" s="40" t="s">
        <v>66</v>
      </c>
      <c r="G56" s="24">
        <f>G49-B70</f>
        <v>0</v>
      </c>
      <c r="H56" s="24">
        <f>H49-C70</f>
        <v>0.83274999999999999</v>
      </c>
      <c r="I56" s="36">
        <f>I49-D70</f>
        <v>0</v>
      </c>
      <c r="J56" s="87" t="s">
        <v>98</v>
      </c>
      <c r="K56" s="40" t="s">
        <v>66</v>
      </c>
      <c r="L56" s="24">
        <f>L49-F70</f>
        <v>3.15</v>
      </c>
      <c r="M56" s="24">
        <f>M49-G70</f>
        <v>0.81529999999999991</v>
      </c>
      <c r="N56" s="36">
        <f>N49-H70+B54</f>
        <v>0.34493200000000002</v>
      </c>
      <c r="T56" s="44"/>
      <c r="U56" s="44"/>
      <c r="V56" s="44"/>
      <c r="W56" s="44"/>
      <c r="X56" s="44"/>
      <c r="Y56" s="44"/>
      <c r="Z56" s="44"/>
    </row>
    <row r="57" spans="1:26">
      <c r="A57" s="48"/>
      <c r="B57" s="48"/>
      <c r="C57" s="48"/>
      <c r="D57" s="48"/>
      <c r="E57" s="86"/>
      <c r="F57" s="41" t="s">
        <v>71</v>
      </c>
      <c r="G57" s="24">
        <f>G49-B70</f>
        <v>0</v>
      </c>
      <c r="H57" s="24">
        <f>H49-C70</f>
        <v>0.83274999999999999</v>
      </c>
      <c r="I57" s="36">
        <f>I49-D70</f>
        <v>0</v>
      </c>
      <c r="J57" s="88"/>
      <c r="K57" s="41" t="s">
        <v>71</v>
      </c>
      <c r="L57" s="24">
        <f>L49-F70</f>
        <v>3.15</v>
      </c>
      <c r="M57" s="24">
        <f>M49-G70</f>
        <v>0.81529999999999991</v>
      </c>
      <c r="N57" s="36">
        <f>N49-H70</f>
        <v>0</v>
      </c>
      <c r="T57" s="47"/>
      <c r="U57" s="47"/>
      <c r="V57" s="47"/>
      <c r="W57" s="47"/>
      <c r="X57" s="47"/>
      <c r="Y57" s="47"/>
      <c r="Z57" s="47"/>
    </row>
    <row r="58" spans="1:26">
      <c r="A58" s="48"/>
      <c r="B58" s="48"/>
      <c r="C58" s="48"/>
      <c r="D58" s="48"/>
      <c r="E58" s="97"/>
      <c r="F58" s="42" t="s">
        <v>75</v>
      </c>
      <c r="G58" s="38">
        <f>G49-B70</f>
        <v>0</v>
      </c>
      <c r="H58" s="38">
        <f>H49-C70</f>
        <v>0.83274999999999999</v>
      </c>
      <c r="I58" s="39">
        <f>I49-D70</f>
        <v>0</v>
      </c>
      <c r="J58" s="89"/>
      <c r="K58" s="42" t="s">
        <v>75</v>
      </c>
      <c r="L58" s="38">
        <f>L49-F70</f>
        <v>3.15</v>
      </c>
      <c r="M58" s="38">
        <f>M49-G70</f>
        <v>0.81529999999999991</v>
      </c>
      <c r="N58" s="39">
        <f>N49-H70</f>
        <v>0</v>
      </c>
      <c r="T58" s="47"/>
      <c r="U58" s="47"/>
      <c r="V58" s="47"/>
      <c r="W58" s="47"/>
      <c r="X58" s="47"/>
      <c r="Y58" s="47"/>
      <c r="Z58" s="47"/>
    </row>
    <row r="59" spans="1:26">
      <c r="A59" s="48"/>
      <c r="B59" s="48"/>
      <c r="C59" s="48"/>
      <c r="D59" s="48"/>
      <c r="E59" s="85" t="s">
        <v>126</v>
      </c>
      <c r="F59" s="40" t="s">
        <v>117</v>
      </c>
      <c r="G59" s="33">
        <f>-J16*9.81*J20*B51</f>
        <v>0</v>
      </c>
      <c r="H59" s="33">
        <v>0</v>
      </c>
      <c r="I59" s="34">
        <v>0</v>
      </c>
      <c r="J59" s="87" t="s">
        <v>126</v>
      </c>
      <c r="K59" s="40" t="s">
        <v>117</v>
      </c>
      <c r="L59" s="33">
        <f>J16*9.81*J20*B52</f>
        <v>0</v>
      </c>
      <c r="M59" s="33">
        <v>0</v>
      </c>
      <c r="N59" s="34">
        <v>0</v>
      </c>
    </row>
    <row r="60" spans="1:26">
      <c r="A60" s="48"/>
      <c r="B60" s="48"/>
      <c r="C60" s="48"/>
      <c r="D60" s="48"/>
      <c r="E60" s="86"/>
      <c r="F60" s="41" t="s">
        <v>124</v>
      </c>
      <c r="G60" s="24">
        <v>0</v>
      </c>
      <c r="H60" s="24">
        <f>J17*9.81*J20*B51</f>
        <v>0</v>
      </c>
      <c r="I60" s="36">
        <v>0</v>
      </c>
      <c r="J60" s="88"/>
      <c r="K60" s="41" t="s">
        <v>124</v>
      </c>
      <c r="L60" s="24">
        <v>0</v>
      </c>
      <c r="M60" s="24">
        <f>J17*9.81*J20*B52</f>
        <v>0</v>
      </c>
      <c r="N60" s="36">
        <v>0</v>
      </c>
    </row>
    <row r="61" spans="1:26">
      <c r="A61" s="48"/>
      <c r="B61" s="93"/>
      <c r="C61" s="48"/>
      <c r="D61" s="48"/>
      <c r="E61" s="97"/>
      <c r="F61" s="42" t="s">
        <v>125</v>
      </c>
      <c r="G61" s="38">
        <v>0</v>
      </c>
      <c r="H61" s="38">
        <v>0</v>
      </c>
      <c r="I61" s="39">
        <f>(B40/2+B42-B47/2)*9.81</f>
        <v>2273.4675000000002</v>
      </c>
      <c r="J61" s="89"/>
      <c r="K61" s="42" t="s">
        <v>125</v>
      </c>
      <c r="L61" s="38">
        <v>0</v>
      </c>
      <c r="M61" s="38">
        <v>0</v>
      </c>
      <c r="N61" s="39">
        <f>(B41/2+B43+B47/2)*9.81</f>
        <v>2778.6825000000003</v>
      </c>
    </row>
    <row r="62" spans="1:26">
      <c r="A62" s="48"/>
      <c r="B62" s="48"/>
      <c r="C62" s="48"/>
      <c r="D62" s="48"/>
    </row>
    <row r="63" spans="1:26" ht="15" customHeight="1">
      <c r="A63" s="48"/>
      <c r="B63" s="48"/>
      <c r="C63" s="48"/>
      <c r="D63" s="48"/>
    </row>
    <row r="64" spans="1:26">
      <c r="A64" s="48"/>
      <c r="B64" s="48"/>
      <c r="C64" s="48"/>
      <c r="D64" s="48"/>
      <c r="E64" s="82" t="s">
        <v>7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4"/>
    </row>
    <row r="65" spans="1:20">
      <c r="A65" s="48"/>
      <c r="B65" s="48"/>
      <c r="C65" s="48"/>
      <c r="D65" s="48"/>
      <c r="E65" s="32"/>
      <c r="F65" s="58" t="s">
        <v>100</v>
      </c>
      <c r="G65" s="60" t="s">
        <v>101</v>
      </c>
      <c r="H65" s="59" t="s">
        <v>102</v>
      </c>
      <c r="J65" s="43"/>
      <c r="K65" s="24" t="s">
        <v>106</v>
      </c>
      <c r="L65" s="24" t="s">
        <v>107</v>
      </c>
      <c r="M65" s="24" t="s">
        <v>108</v>
      </c>
      <c r="N65" s="24" t="s">
        <v>109</v>
      </c>
      <c r="O65" s="24" t="s">
        <v>18</v>
      </c>
      <c r="P65" s="36" t="s">
        <v>19</v>
      </c>
    </row>
    <row r="66" spans="1:20">
      <c r="A66" s="48"/>
      <c r="B66" s="48"/>
      <c r="C66" s="48"/>
      <c r="D66" s="48"/>
      <c r="E66" s="41" t="s">
        <v>103</v>
      </c>
      <c r="F66" s="24">
        <f t="array" ref="F66:H66">cross_product(G56:I56,G59:I59)</f>
        <v>0</v>
      </c>
      <c r="G66" s="24">
        <v>0</v>
      </c>
      <c r="H66" s="36">
        <v>0</v>
      </c>
      <c r="J66" s="61" t="s">
        <v>110</v>
      </c>
      <c r="K66" s="33" cm="1">
        <f t="array" ref="K66:P68">TRANSPOSE(G43:I48)</f>
        <v>-3.3018422777077248E-2</v>
      </c>
      <c r="L66" s="33">
        <v>-0.60673158539139072</v>
      </c>
      <c r="M66" s="33">
        <v>-0.15006756973179061</v>
      </c>
      <c r="N66" s="33">
        <v>-0.64181520041182749</v>
      </c>
      <c r="O66" s="33">
        <v>0</v>
      </c>
      <c r="P66" s="34">
        <v>0</v>
      </c>
      <c r="R66" s="8" t="s">
        <v>118</v>
      </c>
      <c r="T66" s="8">
        <f>-G59</f>
        <v>0</v>
      </c>
    </row>
    <row r="67" spans="1:20">
      <c r="A67" s="48"/>
      <c r="B67" s="48"/>
      <c r="C67" s="48"/>
      <c r="D67" s="48"/>
      <c r="E67" s="41" t="s">
        <v>104</v>
      </c>
      <c r="F67" s="24">
        <f t="array" ref="F67:H67">cross_product(G57:I57,G60:I60)</f>
        <v>0</v>
      </c>
      <c r="G67" s="24">
        <v>0</v>
      </c>
      <c r="H67" s="36">
        <v>0</v>
      </c>
      <c r="J67" s="61" t="s">
        <v>111</v>
      </c>
      <c r="K67" s="24">
        <v>0.95562982716158063</v>
      </c>
      <c r="L67" s="24">
        <v>0.7481377053247984</v>
      </c>
      <c r="M67" s="24">
        <v>0.97980242123769279</v>
      </c>
      <c r="N67" s="24">
        <v>0.75921913821301945</v>
      </c>
      <c r="O67" s="24">
        <v>0.50000017484384174</v>
      </c>
      <c r="P67" s="36">
        <v>1</v>
      </c>
      <c r="R67" s="8" t="s">
        <v>119</v>
      </c>
      <c r="T67" s="11">
        <f>-H60</f>
        <v>0</v>
      </c>
    </row>
    <row r="68" spans="1:20">
      <c r="E68" s="42" t="s">
        <v>105</v>
      </c>
      <c r="F68" s="38">
        <f t="array" ref="F68:H68">cross_product(G58:I58,G61:I61)</f>
        <v>1893.2300606250001</v>
      </c>
      <c r="G68" s="38">
        <v>0</v>
      </c>
      <c r="H68" s="39">
        <v>0</v>
      </c>
      <c r="J68" s="61" t="s">
        <v>112</v>
      </c>
      <c r="K68" s="24">
        <v>0.29271388282150496</v>
      </c>
      <c r="L68" s="24">
        <v>0.26863871120855765</v>
      </c>
      <c r="M68" s="24">
        <v>0.13216255086653322</v>
      </c>
      <c r="N68" s="24">
        <v>0.10797939012332834</v>
      </c>
      <c r="O68" s="24">
        <v>-0.86602530283827606</v>
      </c>
      <c r="P68" s="36">
        <v>0</v>
      </c>
      <c r="Q68" s="11" t="s">
        <v>131</v>
      </c>
      <c r="R68" s="11" t="s">
        <v>120</v>
      </c>
      <c r="S68" s="11" t="s">
        <v>116</v>
      </c>
      <c r="T68" s="11">
        <f>-I61</f>
        <v>-2273.4675000000002</v>
      </c>
    </row>
    <row r="69" spans="1:20">
      <c r="A69" s="48"/>
      <c r="B69" s="48"/>
      <c r="C69" s="48"/>
      <c r="D69" s="48"/>
      <c r="J69" s="61" t="s">
        <v>113</v>
      </c>
      <c r="K69" s="24" cm="1">
        <f t="array" ref="K69:K71">TRANSPOSE(cross_product(G50:I50,G43:I43))</f>
        <v>-0.20546294326283668</v>
      </c>
      <c r="L69" s="24">
        <f t="array" ref="L69:L71">TRANSPOSE(cross_product(G51:I51,G44:I44))</f>
        <v>-0.13166789694621875</v>
      </c>
      <c r="M69" s="24" cm="1">
        <f t="array" ref="M69:M71">TRANSPOSE(cross_product(G52:I52,_xlfn.ANCHORARRAY(G45)))</f>
        <v>-0.1035460475318796</v>
      </c>
      <c r="N69" s="24" cm="1">
        <f t="array" ref="N69:N71">TRANSPOSE(cross_product(G53:I53,_xlfn.ANCHORARRAY(G46)))</f>
        <v>-7.5854991824980622E-2</v>
      </c>
      <c r="O69" s="24" cm="1">
        <f t="array" ref="O69:O71">TRANSPOSE(cross_product(G54:I54,_xlfn.ANCHORARRAY(G47)))</f>
        <v>-0.53883538842403289</v>
      </c>
      <c r="P69" s="36" cm="1">
        <f t="array" ref="P69:P71">TRANSPOSE(cross_product(G55:I55,_xlfn.ANCHORARRAY(G48)))</f>
        <v>-0.35560000000000003</v>
      </c>
      <c r="Q69" s="11"/>
      <c r="R69" s="11" t="s">
        <v>121</v>
      </c>
      <c r="S69" s="11"/>
      <c r="T69" s="11">
        <f>-SUM(F66:F68)</f>
        <v>-1893.2300606250001</v>
      </c>
    </row>
    <row r="70" spans="1:20">
      <c r="A70" s="48"/>
      <c r="B70" s="48"/>
      <c r="C70" s="48"/>
      <c r="D70" s="48"/>
      <c r="J70" s="61" t="s">
        <v>114</v>
      </c>
      <c r="K70" s="24">
        <v>-3.2696908667736814E-2</v>
      </c>
      <c r="L70" s="24">
        <v>-0.28445487903438949</v>
      </c>
      <c r="M70" s="24">
        <v>-3.2947409991006843E-2</v>
      </c>
      <c r="N70" s="24">
        <v>-0.13685038936749139</v>
      </c>
      <c r="O70" s="24">
        <v>0</v>
      </c>
      <c r="P70" s="36">
        <v>0</v>
      </c>
      <c r="Q70" s="11"/>
      <c r="R70" s="11" t="s">
        <v>122</v>
      </c>
      <c r="S70" s="11"/>
      <c r="T70" s="11">
        <f>-SUM(G66:G68)</f>
        <v>0</v>
      </c>
    </row>
    <row r="71" spans="1:20">
      <c r="A71" s="48"/>
      <c r="B71" s="48"/>
      <c r="C71" s="48"/>
      <c r="D71" s="48"/>
      <c r="J71" s="62" t="s">
        <v>115</v>
      </c>
      <c r="K71" s="38">
        <v>8.3569930532161191E-2</v>
      </c>
      <c r="L71" s="38">
        <v>0.4948071259421204</v>
      </c>
      <c r="M71" s="38">
        <v>0.12668526949942183</v>
      </c>
      <c r="N71" s="38">
        <v>0.51134339466311451</v>
      </c>
      <c r="O71" s="38">
        <v>0</v>
      </c>
      <c r="P71" s="39">
        <v>-0.16986999999999999</v>
      </c>
      <c r="Q71" s="11"/>
      <c r="R71" s="11" t="s">
        <v>123</v>
      </c>
      <c r="S71" s="11"/>
      <c r="T71" s="11">
        <f>-SUM(H66:H68)</f>
        <v>0</v>
      </c>
    </row>
    <row r="73" spans="1:20">
      <c r="K73" s="11" t="s">
        <v>73</v>
      </c>
      <c r="L73" s="11"/>
      <c r="M73" s="11"/>
      <c r="N73" s="11"/>
      <c r="O73" s="11"/>
      <c r="P73" s="11"/>
      <c r="Q73" s="11" t="s">
        <v>131</v>
      </c>
      <c r="R73" s="11" t="s">
        <v>117</v>
      </c>
      <c r="S73" s="11" t="s">
        <v>116</v>
      </c>
      <c r="T73" s="11" t="s">
        <v>91</v>
      </c>
    </row>
    <row r="76" spans="1:20">
      <c r="E76" s="82" t="s">
        <v>8</v>
      </c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4"/>
    </row>
    <row r="77" spans="1:20">
      <c r="E77" s="43"/>
      <c r="F77" s="58" t="s">
        <v>100</v>
      </c>
      <c r="G77" s="60" t="s">
        <v>101</v>
      </c>
      <c r="H77" s="59" t="s">
        <v>102</v>
      </c>
      <c r="I77" s="11"/>
      <c r="J77" s="43"/>
      <c r="K77" s="24" t="s">
        <v>106</v>
      </c>
      <c r="L77" s="24" t="s">
        <v>107</v>
      </c>
      <c r="M77" s="24" t="s">
        <v>108</v>
      </c>
      <c r="N77" s="24" t="s">
        <v>109</v>
      </c>
      <c r="O77" s="24" t="s">
        <v>18</v>
      </c>
      <c r="P77" s="36" t="s">
        <v>19</v>
      </c>
      <c r="Q77" s="11"/>
      <c r="R77" s="11"/>
      <c r="S77" s="11"/>
      <c r="T77" s="11"/>
    </row>
    <row r="78" spans="1:20">
      <c r="E78" s="41" t="s">
        <v>103</v>
      </c>
      <c r="F78" s="24" cm="1">
        <f t="array" ref="F78:H78">cross_product(L56:N56,L59:N59)</f>
        <v>0</v>
      </c>
      <c r="G78" s="24">
        <v>0</v>
      </c>
      <c r="H78" s="36">
        <v>0</v>
      </c>
      <c r="J78" s="61" t="s">
        <v>110</v>
      </c>
      <c r="K78" s="33" cm="1">
        <f t="array" ref="K78:P80">TRANSPOSE(L43:N48)</f>
        <v>-0.13647255823026505</v>
      </c>
      <c r="L78" s="33">
        <v>-0.66117743616555202</v>
      </c>
      <c r="M78" s="33">
        <v>7.7010799459569942E-2</v>
      </c>
      <c r="N78" s="33">
        <v>-0.56680091483382733</v>
      </c>
      <c r="O78" s="33">
        <v>0</v>
      </c>
      <c r="P78" s="34">
        <v>0</v>
      </c>
      <c r="Q78" s="11"/>
      <c r="R78" s="11" t="s">
        <v>118</v>
      </c>
      <c r="S78" s="11"/>
      <c r="T78" s="11">
        <f>-SUM(L59:N59)</f>
        <v>0</v>
      </c>
    </row>
    <row r="79" spans="1:20">
      <c r="E79" s="41" t="s">
        <v>104</v>
      </c>
      <c r="F79" s="24" cm="1">
        <f t="array" ref="F79:H79">cross_product(L57:N57,L60:N60)</f>
        <v>0</v>
      </c>
      <c r="G79" s="24">
        <v>0</v>
      </c>
      <c r="H79" s="36">
        <v>0</v>
      </c>
      <c r="J79" s="61" t="s">
        <v>111</v>
      </c>
      <c r="K79" s="24">
        <v>0.96589594127991441</v>
      </c>
      <c r="L79" s="24">
        <v>0.66604007737239568</v>
      </c>
      <c r="M79" s="24">
        <v>0.99308246179030202</v>
      </c>
      <c r="N79" s="24">
        <v>0.81528230294082582</v>
      </c>
      <c r="O79" s="24">
        <v>0.76603500376716727</v>
      </c>
      <c r="P79" s="36">
        <v>1</v>
      </c>
      <c r="Q79" s="11"/>
      <c r="R79" s="11" t="s">
        <v>119</v>
      </c>
      <c r="S79" s="11"/>
      <c r="T79" s="11">
        <f>-SUM(L60:N60)</f>
        <v>0</v>
      </c>
    </row>
    <row r="80" spans="1:20">
      <c r="E80" s="42" t="s">
        <v>105</v>
      </c>
      <c r="F80" s="37" cm="1">
        <f t="array" ref="F80:H80">cross_product(L58:N58,L61:N61)</f>
        <v>2265.4598422499998</v>
      </c>
      <c r="G80" s="38">
        <v>-8752.8498750000017</v>
      </c>
      <c r="H80" s="39">
        <v>0</v>
      </c>
      <c r="J80" s="61" t="s">
        <v>112</v>
      </c>
      <c r="K80" s="24">
        <v>0.22004606669757834</v>
      </c>
      <c r="L80" s="24">
        <v>0.34530423287200018</v>
      </c>
      <c r="M80" s="24">
        <v>8.8637243025215362E-2</v>
      </c>
      <c r="N80" s="24">
        <v>-0.11853897863167294</v>
      </c>
      <c r="O80" s="24">
        <v>-0.6427988589002287</v>
      </c>
      <c r="P80" s="36">
        <v>0</v>
      </c>
      <c r="Q80" s="11" t="s">
        <v>131</v>
      </c>
      <c r="R80" s="11" t="s">
        <v>120</v>
      </c>
      <c r="S80" s="11" t="s">
        <v>116</v>
      </c>
      <c r="T80" s="11">
        <f>-SUM(L61:N61)</f>
        <v>-2778.6825000000003</v>
      </c>
    </row>
    <row r="81" spans="5:20">
      <c r="J81" s="61" t="s">
        <v>113</v>
      </c>
      <c r="K81" s="24" cm="1">
        <f t="array" ref="K81:K83">TRANSPOSE(cross_product(L50:N50,_xlfn.ANCHORARRAY(L43)))</f>
        <v>-0.19524246275181845</v>
      </c>
      <c r="L81" s="24" cm="1">
        <f t="array" ref="L81:L83">TRANSPOSE(cross_product(L51:N51,_xlfn.ANCHORARRAY(L44)))</f>
        <v>4.7028467360129556E-3</v>
      </c>
      <c r="M81" s="24" cm="1">
        <f t="array" ref="M81:M83">TRANSPOSE(cross_product(L52:N52,_xlfn.ANCHORARRAY(L45)))</f>
        <v>-0.11232391621933885</v>
      </c>
      <c r="N81" s="24" cm="1">
        <f t="array" ref="N81:N83">TRANSPOSE(cross_product(L53:N53,_xlfn.ANCHORARRAY(L46)))</f>
        <v>-0.23906446263735756</v>
      </c>
      <c r="O81" s="24" cm="1">
        <f t="array" ref="O81:O83">TRANSPOSE(cross_product(L54:N54,_xlfn.ANCHORARRAY(L47)))</f>
        <v>-0.2402258640952909</v>
      </c>
      <c r="P81" s="36" cm="1">
        <f t="array" ref="P81:P83">TRANSPOSE(cross_product(L55:N55,_xlfn.ANCHORARRAY(L48)))</f>
        <v>-0.35560000000000003</v>
      </c>
      <c r="Q81" s="11"/>
      <c r="R81" s="11" t="s">
        <v>121</v>
      </c>
      <c r="S81" s="11"/>
      <c r="T81" s="11">
        <f>-SUM(F78:F80)</f>
        <v>-2265.4598422499998</v>
      </c>
    </row>
    <row r="82" spans="5:20">
      <c r="J82" s="61" t="s">
        <v>114</v>
      </c>
      <c r="K82" s="24">
        <v>-0.70539894820600546</v>
      </c>
      <c r="L82" s="24">
        <v>-1.2706003770461292</v>
      </c>
      <c r="M82" s="24">
        <v>-0.25947160254896579</v>
      </c>
      <c r="N82" s="24">
        <v>0.2627669623835997</v>
      </c>
      <c r="O82" s="24">
        <v>2.0248164055357205</v>
      </c>
      <c r="P82" s="36">
        <v>0</v>
      </c>
      <c r="Q82" s="11"/>
      <c r="R82" s="11" t="s">
        <v>122</v>
      </c>
      <c r="S82" s="11"/>
      <c r="T82" s="11">
        <f>-SUM(G78:G80)</f>
        <v>8752.8498750000017</v>
      </c>
    </row>
    <row r="83" spans="5:20">
      <c r="J83" s="62" t="s">
        <v>115</v>
      </c>
      <c r="K83" s="38">
        <v>2.9752712807549058</v>
      </c>
      <c r="L83" s="38">
        <v>2.4598024255892912</v>
      </c>
      <c r="M83" s="38">
        <v>3.0046833962865769</v>
      </c>
      <c r="N83" s="38">
        <v>2.9503477623396015</v>
      </c>
      <c r="O83" s="38">
        <v>2.4130102618665767</v>
      </c>
      <c r="P83" s="39">
        <v>3.3</v>
      </c>
      <c r="Q83" s="11"/>
      <c r="R83" s="11" t="s">
        <v>123</v>
      </c>
      <c r="S83" s="11"/>
      <c r="T83" s="11">
        <f>-SUM(H78:H80)</f>
        <v>0</v>
      </c>
    </row>
    <row r="84" spans="5:20"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</row>
    <row r="85" spans="5:20">
      <c r="J85" s="11"/>
      <c r="K85" s="11" t="s">
        <v>73</v>
      </c>
      <c r="L85" s="11"/>
      <c r="M85" s="11"/>
      <c r="N85" s="11"/>
      <c r="O85" s="11"/>
      <c r="P85" s="11"/>
      <c r="Q85" s="11" t="s">
        <v>131</v>
      </c>
      <c r="R85" s="11" t="s">
        <v>117</v>
      </c>
      <c r="S85" s="11" t="s">
        <v>116</v>
      </c>
      <c r="T85" s="11" t="s">
        <v>91</v>
      </c>
    </row>
    <row r="87" spans="5:20" ht="14.25" customHeight="1">
      <c r="E87" s="98" t="s">
        <v>7</v>
      </c>
      <c r="F87" s="49" t="s">
        <v>118</v>
      </c>
      <c r="G87" s="50"/>
      <c r="H87" s="50" cm="1">
        <f t="array" ref="H87:H92">MMULT(MINVERSE(K66:P71),T66:T71)</f>
        <v>3356.8762246255255</v>
      </c>
      <c r="I87" s="51" t="s">
        <v>35</v>
      </c>
      <c r="K87" s="98" t="s">
        <v>8</v>
      </c>
      <c r="L87" s="49" t="s">
        <v>118</v>
      </c>
      <c r="M87" s="50"/>
      <c r="N87" s="50" cm="1">
        <f t="array" ref="N87:N92">MMULT(MINVERSE(K78:P83),T78:T83)</f>
        <v>11776.587734992834</v>
      </c>
      <c r="O87" s="51" t="s">
        <v>35</v>
      </c>
    </row>
    <row r="88" spans="5:20" ht="14.25" customHeight="1">
      <c r="E88" s="99"/>
      <c r="F88" s="52" t="s">
        <v>119</v>
      </c>
      <c r="G88" s="53"/>
      <c r="H88" s="53">
        <v>-514.95252995182466</v>
      </c>
      <c r="I88" s="54" t="s">
        <v>35</v>
      </c>
      <c r="K88" s="99"/>
      <c r="L88" s="52" t="s">
        <v>119</v>
      </c>
      <c r="M88" s="53"/>
      <c r="N88" s="53">
        <v>1588.6105561359727</v>
      </c>
      <c r="O88" s="54" t="s">
        <v>35</v>
      </c>
    </row>
    <row r="89" spans="5:20" ht="14.25" customHeight="1">
      <c r="E89" s="99"/>
      <c r="F89" s="52" t="s">
        <v>120</v>
      </c>
      <c r="G89" s="53" t="s">
        <v>116</v>
      </c>
      <c r="H89" s="53">
        <v>-6598.3365178853564</v>
      </c>
      <c r="I89" s="54" t="s">
        <v>35</v>
      </c>
      <c r="K89" s="99"/>
      <c r="L89" s="52" t="s">
        <v>120</v>
      </c>
      <c r="M89" s="53" t="s">
        <v>116</v>
      </c>
      <c r="N89" s="53">
        <v>-17825.315994295524</v>
      </c>
      <c r="O89" s="54" t="s">
        <v>35</v>
      </c>
    </row>
    <row r="90" spans="5:20" ht="14.25" customHeight="1">
      <c r="E90" s="99"/>
      <c r="F90" s="52" t="s">
        <v>121</v>
      </c>
      <c r="G90" s="53"/>
      <c r="H90" s="53">
        <v>1856.913845684594</v>
      </c>
      <c r="I90" s="54" t="s">
        <v>35</v>
      </c>
      <c r="K90" s="99"/>
      <c r="L90" s="52" t="s">
        <v>121</v>
      </c>
      <c r="M90" s="53"/>
      <c r="N90" s="53">
        <v>-7110.5678199386748</v>
      </c>
      <c r="O90" s="54" t="s">
        <v>35</v>
      </c>
    </row>
    <row r="91" spans="5:20" ht="14.25" customHeight="1">
      <c r="E91" s="99"/>
      <c r="F91" s="52" t="s">
        <v>122</v>
      </c>
      <c r="G91" s="53"/>
      <c r="H91" s="53">
        <v>2824.6184271446814</v>
      </c>
      <c r="I91" s="54" t="s">
        <v>35</v>
      </c>
      <c r="K91" s="99"/>
      <c r="L91" s="52" t="s">
        <v>122</v>
      </c>
      <c r="M91" s="53"/>
      <c r="N91" s="53">
        <v>8060.8743605538621</v>
      </c>
      <c r="O91" s="54" t="s">
        <v>35</v>
      </c>
    </row>
    <row r="92" spans="5:20" ht="14.25" customHeight="1">
      <c r="E92" s="100"/>
      <c r="F92" s="55" t="s">
        <v>123</v>
      </c>
      <c r="G92" s="56"/>
      <c r="H92" s="56">
        <v>820.27621703684486</v>
      </c>
      <c r="I92" s="57" t="s">
        <v>35</v>
      </c>
      <c r="K92" s="100"/>
      <c r="L92" s="55" t="s">
        <v>123</v>
      </c>
      <c r="M92" s="56"/>
      <c r="N92" s="56">
        <v>4891.1802830281376</v>
      </c>
      <c r="O92" s="57" t="s">
        <v>35</v>
      </c>
    </row>
  </sheetData>
  <mergeCells count="24">
    <mergeCell ref="A1:O1"/>
    <mergeCell ref="A32:O32"/>
    <mergeCell ref="E64:T64"/>
    <mergeCell ref="E76:T76"/>
    <mergeCell ref="E87:E92"/>
    <mergeCell ref="K87:K92"/>
    <mergeCell ref="A34:C34"/>
    <mergeCell ref="E37:E42"/>
    <mergeCell ref="J37:J42"/>
    <mergeCell ref="E43:E48"/>
    <mergeCell ref="J43:J48"/>
    <mergeCell ref="E50:E55"/>
    <mergeCell ref="E56:E58"/>
    <mergeCell ref="E59:E61"/>
    <mergeCell ref="E35:I35"/>
    <mergeCell ref="J35:N35"/>
    <mergeCell ref="E34:N34"/>
    <mergeCell ref="E15:G15"/>
    <mergeCell ref="A16:C16"/>
    <mergeCell ref="A3:C3"/>
    <mergeCell ref="E3:G3"/>
    <mergeCell ref="J50:J55"/>
    <mergeCell ref="J56:J58"/>
    <mergeCell ref="J59:J61"/>
  </mergeCells>
  <dataValidations disablePrompts="1" count="1">
    <dataValidation allowBlank="1" showInputMessage="1" showErrorMessage="1" promptTitle="Check Tyre Data" prompt=" " sqref="M4:O9" xr:uid="{8A41BE96-237C-4D3D-90CC-133B9C22FCCE}"/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09dac74-d959-44db-9513-753fe2ad6694">
      <Terms xmlns="http://schemas.microsoft.com/office/infopath/2007/PartnerControls"/>
    </lcf76f155ced4ddcb4097134ff3c332f>
    <TaxCatchAll xmlns="d3668f51-38e9-48c9-8762-46f9a49a93f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5332583A89B0408DF0ED411CB1982B" ma:contentTypeVersion="12" ma:contentTypeDescription="Create a new document." ma:contentTypeScope="" ma:versionID="065cbcaa8a7a86d6456b7f10ff14a2d6">
  <xsd:schema xmlns:xsd="http://www.w3.org/2001/XMLSchema" xmlns:xs="http://www.w3.org/2001/XMLSchema" xmlns:p="http://schemas.microsoft.com/office/2006/metadata/properties" xmlns:ns2="009dac74-d959-44db-9513-753fe2ad6694" xmlns:ns3="d3668f51-38e9-48c9-8762-46f9a49a93fd" targetNamespace="http://schemas.microsoft.com/office/2006/metadata/properties" ma:root="true" ma:fieldsID="c974431f99d67e17a9df1bbb326949da" ns2:_="" ns3:_="">
    <xsd:import namespace="009dac74-d959-44db-9513-753fe2ad6694"/>
    <xsd:import namespace="d3668f51-38e9-48c9-8762-46f9a49a93f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9dac74-d959-44db-9513-753fe2ad66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ed3f799-2585-429a-ae92-38aec2d16af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668f51-38e9-48c9-8762-46f9a49a93f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356dff3-3b87-45ef-8a70-929ead700ce2}" ma:internalName="TaxCatchAll" ma:showField="CatchAllData" ma:web="d3668f51-38e9-48c9-8762-46f9a49a93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2934162-4C48-49E3-9DDE-A0045FE376B7}">
  <ds:schemaRefs>
    <ds:schemaRef ds:uri="http://schemas.microsoft.com/office/2006/metadata/properties"/>
    <ds:schemaRef ds:uri="http://schemas.microsoft.com/office/infopath/2007/PartnerControls"/>
    <ds:schemaRef ds:uri="009dac74-d959-44db-9513-753fe2ad6694"/>
    <ds:schemaRef ds:uri="d3668f51-38e9-48c9-8762-46f9a49a93fd"/>
  </ds:schemaRefs>
</ds:datastoreItem>
</file>

<file path=customXml/itemProps2.xml><?xml version="1.0" encoding="utf-8"?>
<ds:datastoreItem xmlns:ds="http://schemas.openxmlformats.org/officeDocument/2006/customXml" ds:itemID="{20F9DA65-CF54-4240-ABCA-9E3913670F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09dac74-d959-44db-9513-753fe2ad6694"/>
    <ds:schemaRef ds:uri="d3668f51-38e9-48c9-8762-46f9a49a93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D35D1D-0E09-460A-9CE6-E4F900B699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Pick-up Points</vt:lpstr>
      <vt:lpstr>Calcs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José Vale</dc:creator>
  <cp:keywords/>
  <dc:description/>
  <cp:lastModifiedBy>José Vale</cp:lastModifiedBy>
  <cp:revision/>
  <dcterms:created xsi:type="dcterms:W3CDTF">2025-03-13T11:16:55Z</dcterms:created>
  <dcterms:modified xsi:type="dcterms:W3CDTF">2025-05-30T16:36:26Z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0x010100DD5332583A89B0408DF0ED411CB1982B</vt:lpwstr>
  </property>
  <property fmtid="{D5CDD505-2E9C-101B-9397-08002B2CF9AE}" pid="3" name="MediaServiceImageTags">
    <vt:lpwstr/>
  </property>
</Properties>
</file>