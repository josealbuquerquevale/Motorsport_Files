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H:\My Drive\Racing\Static_Models\"/>
    </mc:Choice>
  </mc:AlternateContent>
  <xr:revisionPtr revIDLastSave="0" documentId="8_{092359A0-6A82-4054-9C0B-C739B009FFA4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Calcs" sheetId="1" r:id="rId1"/>
  </sheets>
  <functionGroups builtInGroupCount="19"/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47" i="1" l="1"/>
  <c r="J45" i="1"/>
  <c r="J44" i="1"/>
  <c r="N50" i="1"/>
  <c r="J48" i="1"/>
  <c r="J49" i="1" s="1"/>
  <c r="J40" i="1"/>
  <c r="F55" i="1"/>
  <c r="F49" i="1"/>
  <c r="J36" i="1"/>
  <c r="B45" i="1"/>
  <c r="B42" i="1"/>
  <c r="B43" i="1" s="1"/>
  <c r="F50" i="1"/>
  <c r="J35" i="1" s="1"/>
  <c r="F35" i="1"/>
  <c r="N52" i="1" l="1"/>
  <c r="J37" i="1"/>
  <c r="N35" i="1" s="1"/>
  <c r="B44" i="1"/>
  <c r="J53" i="1" l="1"/>
  <c r="F56" i="1"/>
  <c r="J39" i="1" s="1"/>
  <c r="J41" i="1" s="1"/>
  <c r="B36" i="1"/>
  <c r="B35" i="1"/>
  <c r="B38" i="1"/>
  <c r="B37" i="1"/>
  <c r="N38" i="1" l="1"/>
  <c r="N40" i="1" s="1"/>
  <c r="J54" i="1"/>
  <c r="N49" i="1"/>
  <c r="N51" i="1" s="1"/>
  <c r="N42" i="1"/>
  <c r="J55" i="1"/>
  <c r="J57" i="1" s="1"/>
  <c r="J59" i="1" s="1"/>
  <c r="J61" i="1" s="1"/>
  <c r="J56" i="1"/>
  <c r="J58" i="1" s="1"/>
  <c r="J60" i="1" s="1"/>
  <c r="J62" i="1" s="1"/>
  <c r="N36" i="1"/>
  <c r="F42" i="1"/>
  <c r="F43" i="1"/>
  <c r="B40" i="1"/>
  <c r="B46" i="1" s="1"/>
  <c r="B39" i="1"/>
  <c r="F36" i="1" s="1"/>
  <c r="B41" i="1"/>
  <c r="B47" i="1" s="1"/>
  <c r="N44" i="1" l="1"/>
  <c r="N47" i="1" s="1"/>
  <c r="N43" i="1"/>
  <c r="N46" i="1" s="1"/>
  <c r="N45" i="1"/>
  <c r="N37" i="1"/>
  <c r="N39" i="1" s="1"/>
  <c r="F37" i="1"/>
  <c r="F58" i="1"/>
  <c r="F52" i="1"/>
  <c r="F57" i="1"/>
  <c r="F51" i="1"/>
  <c r="F38" i="1" l="1"/>
  <c r="F39" i="1"/>
  <c r="F45" i="1"/>
  <c r="F40" i="1"/>
  <c r="F41" i="1"/>
  <c r="F44" i="1"/>
</calcChain>
</file>

<file path=xl/sharedStrings.xml><?xml version="1.0" encoding="utf-8"?>
<sst xmlns="http://schemas.openxmlformats.org/spreadsheetml/2006/main" count="242" uniqueCount="137">
  <si>
    <t>G</t>
  </si>
  <si>
    <t>rh_f</t>
  </si>
  <si>
    <t>mm</t>
  </si>
  <si>
    <t>rh_r</t>
  </si>
  <si>
    <t>deg/G</t>
  </si>
  <si>
    <t>Front</t>
  </si>
  <si>
    <t>Rear</t>
  </si>
  <si>
    <t>Set Parameters</t>
  </si>
  <si>
    <t>General</t>
  </si>
  <si>
    <t>cogh</t>
  </si>
  <si>
    <t>m</t>
  </si>
  <si>
    <t>Roll_gradient_f</t>
  </si>
  <si>
    <t>Roll_gradient_r</t>
  </si>
  <si>
    <t>N</t>
  </si>
  <si>
    <t>Mass</t>
  </si>
  <si>
    <t>kg</t>
  </si>
  <si>
    <t>Track_f</t>
  </si>
  <si>
    <t>Track_r</t>
  </si>
  <si>
    <t>WD</t>
  </si>
  <si>
    <t>front</t>
  </si>
  <si>
    <t>rc_f</t>
  </si>
  <si>
    <t>rc_r</t>
  </si>
  <si>
    <t>WB</t>
  </si>
  <si>
    <t>Heave_max</t>
  </si>
  <si>
    <t>max_pitch_f</t>
  </si>
  <si>
    <t>max_pitch_r</t>
  </si>
  <si>
    <t>Max_bump_f</t>
  </si>
  <si>
    <t>Pitch_gradient_f</t>
  </si>
  <si>
    <t>Pitch_gradient_r</t>
  </si>
  <si>
    <t>Max_bump_r</t>
  </si>
  <si>
    <t>MR_f</t>
  </si>
  <si>
    <t>w/d</t>
  </si>
  <si>
    <t>MR_r</t>
  </si>
  <si>
    <t>Aero</t>
  </si>
  <si>
    <t>A_y</t>
  </si>
  <si>
    <t>rho</t>
  </si>
  <si>
    <t>kg/(m^3)</t>
  </si>
  <si>
    <t>V_corner</t>
  </si>
  <si>
    <t>km/h</t>
  </si>
  <si>
    <t>C_L</t>
  </si>
  <si>
    <t>-</t>
  </si>
  <si>
    <t>A_x_brake</t>
  </si>
  <si>
    <t>A</t>
  </si>
  <si>
    <t>m^2</t>
  </si>
  <si>
    <t>V_brake</t>
  </si>
  <si>
    <t>CoP</t>
  </si>
  <si>
    <t>A_x_accel</t>
  </si>
  <si>
    <t>V_accel</t>
  </si>
  <si>
    <t>A_z_bump</t>
  </si>
  <si>
    <t>Calculations</t>
  </si>
  <si>
    <t>Statics</t>
  </si>
  <si>
    <t>Lateral Load Transfer</t>
  </si>
  <si>
    <t>Roll_stiffness_f</t>
  </si>
  <si>
    <t>Nm/deg</t>
  </si>
  <si>
    <t>Total_aero_load</t>
  </si>
  <si>
    <t>N/mm</t>
  </si>
  <si>
    <t>Roll_stiffness_r</t>
  </si>
  <si>
    <t>TLLT_f</t>
  </si>
  <si>
    <t>a</t>
  </si>
  <si>
    <t>TLLT_r</t>
  </si>
  <si>
    <t>b</t>
  </si>
  <si>
    <t>M_of</t>
  </si>
  <si>
    <t>h_nra</t>
  </si>
  <si>
    <t>M_if</t>
  </si>
  <si>
    <t>M_front</t>
  </si>
  <si>
    <t>M_or</t>
  </si>
  <si>
    <t>M_rear</t>
  </si>
  <si>
    <t>M_ir</t>
  </si>
  <si>
    <t>Roll_rate_f</t>
  </si>
  <si>
    <t>Roll_rate_r</t>
  </si>
  <si>
    <t>TLLTD_f</t>
  </si>
  <si>
    <t>TLLTD_r</t>
  </si>
  <si>
    <t>Longitudinal Load Transfer</t>
  </si>
  <si>
    <t>Load_transfer_brake</t>
  </si>
  <si>
    <t>Load_transfer_accel</t>
  </si>
  <si>
    <t>Load Transfers</t>
  </si>
  <si>
    <t>Max_dive</t>
  </si>
  <si>
    <t>Max_squat</t>
  </si>
  <si>
    <t>K_sfront</t>
  </si>
  <si>
    <t>K_srear</t>
  </si>
  <si>
    <t>m_unsprung_f</t>
  </si>
  <si>
    <t>m_unsprung_r</t>
  </si>
  <si>
    <t>m_sprung_f</t>
  </si>
  <si>
    <t>m_sprung_r</t>
  </si>
  <si>
    <t>F_sprung_brake</t>
  </si>
  <si>
    <t>F_sprung_accel</t>
  </si>
  <si>
    <t>m_unsprung</t>
  </si>
  <si>
    <t>m_sprung</t>
  </si>
  <si>
    <t>Dampers</t>
  </si>
  <si>
    <t>K_tyre_f</t>
  </si>
  <si>
    <t>K_tyre_r</t>
  </si>
  <si>
    <t>K_eff_f</t>
  </si>
  <si>
    <t>K_eff_r</t>
  </si>
  <si>
    <t>f_front</t>
  </si>
  <si>
    <t>f_rear</t>
  </si>
  <si>
    <t>Damping_ratio</t>
  </si>
  <si>
    <t>Ns/mm</t>
  </si>
  <si>
    <t>Base_damping_f</t>
  </si>
  <si>
    <t>Base_damping_r</t>
  </si>
  <si>
    <t>rad/s</t>
  </si>
  <si>
    <t>ARBs</t>
  </si>
  <si>
    <t>wrate_f</t>
  </si>
  <si>
    <t>wrate_r</t>
  </si>
  <si>
    <t>roll_stiffness_sf</t>
  </si>
  <si>
    <t>roll_stiffness_sr</t>
  </si>
  <si>
    <t>required_ARBf</t>
  </si>
  <si>
    <t>required_ARBr</t>
  </si>
  <si>
    <t>K_ARBf</t>
  </si>
  <si>
    <t>K_ARBr</t>
  </si>
  <si>
    <t>MR_ARB</t>
  </si>
  <si>
    <t>w/ARB</t>
  </si>
  <si>
    <t>L_ARB</t>
  </si>
  <si>
    <t>Heave</t>
  </si>
  <si>
    <t>Max_heave_f</t>
  </si>
  <si>
    <t>Max_heave_r</t>
  </si>
  <si>
    <t>MR_heave_r</t>
  </si>
  <si>
    <t>MR_heave_f</t>
  </si>
  <si>
    <t>K_heave_f</t>
  </si>
  <si>
    <t>max_heave_spring_f</t>
  </si>
  <si>
    <t>K_heave_r</t>
  </si>
  <si>
    <t>x_spring_r</t>
  </si>
  <si>
    <t>wr_sprung_f</t>
  </si>
  <si>
    <t>wr_sprung_r</t>
  </si>
  <si>
    <t>c_damping_sprung_f</t>
  </si>
  <si>
    <t>c_damping_sprung_r</t>
  </si>
  <si>
    <t>N/m</t>
  </si>
  <si>
    <t>Ns/m</t>
  </si>
  <si>
    <t>wr_sprung_hr</t>
  </si>
  <si>
    <t>c_damping_sprung_hr</t>
  </si>
  <si>
    <t>wr_unsprung_f</t>
  </si>
  <si>
    <t>wr_unsprung_r</t>
  </si>
  <si>
    <t>c_damping_unsprung_f</t>
  </si>
  <si>
    <t>c_damping_unsprung_r</t>
  </si>
  <si>
    <t>max_heave_spring_r</t>
  </si>
  <si>
    <t>Springs</t>
  </si>
  <si>
    <t>Brake</t>
  </si>
  <si>
    <t>Acceleration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</si>
</sst>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1"/>
      <color rgb="FF000000"/>
      <name val="Aptos Narrow"/>
      <scheme val="minor"/>
    </font>
    <font>
      <sz val="11"/>
      <color rgb="FF0C0C0C"/>
      <name val="Aptos Narrow"/>
      <scheme val="minor"/>
    </font>
    <font>
      <b/>
      <sz val="11"/>
      <color theme="1"/>
      <name val="Aptos Narrow"/>
      <scheme val="minor"/>
    </font>
    <font>
      <sz val="11"/>
      <color theme="1"/>
      <name val="Aptos Narrow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2"/>
        <bgColor indexed="64"/>
      </patternFill>
    </fill>
  </fills>
  <borders count="2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31">
    <xf numFmtId="0" fontId="0" fillId="0" borderId="0" xfId="0"/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0" xfId="0" applyFont="1" applyFill="1" applyAlignment="1">
      <alignment vertical="center"/>
    </xf>
    <xf numFmtId="0" fontId="0" fillId="0" borderId="0" xfId="0" applyFill="1" applyAlignment="1">
      <alignment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" fillId="0" borderId="0" xfId="0" applyFont="1" applyFill="1" applyBorder="1" applyAlignment="1">
      <alignment vertical="center"/>
    </xf>
    <xf numFmtId="0" fontId="1" fillId="0" borderId="0" xfId="0" applyFont="1" applyBorder="1" applyAlignment="1">
      <alignment vertical="center"/>
    </xf>
    <xf numFmtId="0" fontId="0" fillId="0" borderId="0" xfId="0" applyFill="1" applyBorder="1" applyAlignment="1">
      <alignment vertical="center"/>
    </xf>
    <xf numFmtId="0" fontId="0" fillId="0" borderId="0" xfId="0" applyBorder="1" applyAlignment="1">
      <alignment vertical="center"/>
    </xf>
    <xf numFmtId="0" fontId="4" fillId="0" borderId="0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vertical="center"/>
    </xf>
    <xf numFmtId="0" fontId="3" fillId="0" borderId="0" xfId="0" applyFont="1" applyFill="1" applyAlignment="1">
      <alignment vertical="center"/>
    </xf>
    <xf numFmtId="0" fontId="0" fillId="0" borderId="0" xfId="0" applyFill="1" applyBorder="1" applyAlignment="1">
      <alignment horizontal="center" vertical="center" wrapText="1"/>
    </xf>
    <xf numFmtId="0" fontId="6" fillId="0" borderId="0" xfId="0" applyFont="1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45F82"/>
      </a:accent1>
      <a:accent2>
        <a:srgbClr val="E87331"/>
      </a:accent2>
      <a:accent3>
        <a:srgbClr val="186C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AH101"/>
  <sheetViews>
    <sheetView tabSelected="1" zoomScale="80" zoomScaleNormal="80" workbookViewId="0">
      <selection activeCell="C60" sqref="C60"/>
    </sheetView>
  </sheetViews>
  <sheetFormatPr defaultColWidth="9.125" defaultRowHeight="14.25"/>
  <cols>
    <col min="1" max="1" width="19.625" style="2" bestFit="1" customWidth="1"/>
    <col min="2" max="2" width="18.75" style="2" customWidth="1"/>
    <col min="3" max="3" width="9.125" style="2"/>
    <col min="4" max="4" width="10.25" style="2" bestFit="1" customWidth="1"/>
    <col min="5" max="5" width="22.125" style="2" bestFit="1" customWidth="1"/>
    <col min="6" max="8" width="9.125" style="2"/>
    <col min="9" max="9" width="21.125" style="2" bestFit="1" customWidth="1"/>
    <col min="10" max="12" width="9.125" style="2"/>
    <col min="13" max="13" width="19.875" style="2" bestFit="1" customWidth="1"/>
    <col min="14" max="14" width="14" style="2" customWidth="1"/>
    <col min="15" max="15" width="12.25" style="2" bestFit="1" customWidth="1"/>
    <col min="16" max="17" width="13" style="2" bestFit="1" customWidth="1"/>
    <col min="18" max="18" width="19.75" style="2" customWidth="1"/>
    <col min="19" max="19" width="14.125" style="2" customWidth="1"/>
    <col min="20" max="20" width="9.125" style="2"/>
    <col min="21" max="21" width="12.5" style="2" bestFit="1" customWidth="1"/>
    <col min="22" max="22" width="11.5" style="2" customWidth="1"/>
    <col min="23" max="28" width="9.125" style="2"/>
    <col min="29" max="29" width="12.5" style="2" bestFit="1" customWidth="1"/>
    <col min="30" max="16384" width="9.125" style="2"/>
  </cols>
  <sheetData>
    <row r="1" spans="1:34" ht="15.75">
      <c r="A1" s="19" t="s">
        <v>7</v>
      </c>
      <c r="B1" s="19"/>
      <c r="C1" s="19"/>
      <c r="D1" s="19"/>
      <c r="E1" s="19"/>
      <c r="F1" s="19"/>
      <c r="G1" s="19"/>
      <c r="H1" s="19"/>
      <c r="I1" s="19"/>
      <c r="J1" s="19"/>
      <c r="K1" s="19"/>
      <c r="L1" s="19"/>
      <c r="M1" s="19"/>
      <c r="N1" s="19"/>
      <c r="O1" s="19"/>
      <c r="P1" s="19"/>
      <c r="Q1" s="19"/>
      <c r="R1" s="19"/>
      <c r="S1" s="19"/>
      <c r="T1" s="19"/>
      <c r="U1" s="19"/>
      <c r="V1" s="19"/>
      <c r="W1" s="19"/>
    </row>
    <row r="3" spans="1:34" ht="15">
      <c r="A3" s="20" t="s">
        <v>8</v>
      </c>
      <c r="B3" s="20"/>
      <c r="C3" s="20"/>
      <c r="E3" s="20" t="s">
        <v>5</v>
      </c>
      <c r="F3" s="20"/>
      <c r="G3" s="20"/>
      <c r="I3" s="21" t="s">
        <v>6</v>
      </c>
      <c r="J3" s="16"/>
      <c r="K3" s="16"/>
      <c r="AB3" s="7"/>
      <c r="AC3" s="7"/>
      <c r="AD3" s="7"/>
    </row>
    <row r="4" spans="1:34">
      <c r="A4" s="2" t="s">
        <v>9</v>
      </c>
      <c r="B4" s="2">
        <v>0.35</v>
      </c>
      <c r="C4" s="2" t="s">
        <v>10</v>
      </c>
      <c r="E4" s="2" t="s">
        <v>11</v>
      </c>
      <c r="F4" s="2">
        <v>0.2</v>
      </c>
      <c r="G4" s="2" t="s">
        <v>4</v>
      </c>
      <c r="I4" s="2" t="s">
        <v>12</v>
      </c>
      <c r="J4" s="2">
        <v>0.2</v>
      </c>
      <c r="K4" s="2" t="s">
        <v>4</v>
      </c>
    </row>
    <row r="5" spans="1:34">
      <c r="A5" s="2" t="s">
        <v>14</v>
      </c>
      <c r="B5" s="2">
        <v>1150</v>
      </c>
      <c r="C5" s="2" t="s">
        <v>15</v>
      </c>
      <c r="E5" s="2" t="s">
        <v>16</v>
      </c>
      <c r="F5" s="2">
        <v>1.655</v>
      </c>
      <c r="G5" s="2" t="s">
        <v>10</v>
      </c>
      <c r="I5" s="2" t="s">
        <v>17</v>
      </c>
      <c r="J5" s="2">
        <v>1.595</v>
      </c>
      <c r="K5" s="2" t="s">
        <v>10</v>
      </c>
    </row>
    <row r="6" spans="1:34">
      <c r="A6" s="2" t="s">
        <v>18</v>
      </c>
      <c r="B6" s="2">
        <v>0.47</v>
      </c>
      <c r="C6" s="2" t="s">
        <v>19</v>
      </c>
      <c r="E6" s="2" t="s">
        <v>20</v>
      </c>
      <c r="F6" s="2">
        <v>7.0000000000000007E-2</v>
      </c>
      <c r="G6" s="2" t="s">
        <v>10</v>
      </c>
      <c r="I6" s="2" t="s">
        <v>21</v>
      </c>
      <c r="J6" s="2">
        <v>0.105</v>
      </c>
      <c r="K6" s="2" t="s">
        <v>10</v>
      </c>
    </row>
    <row r="7" spans="1:34">
      <c r="A7" s="2" t="s">
        <v>22</v>
      </c>
      <c r="B7" s="2">
        <v>2.9249999999999998</v>
      </c>
      <c r="C7" s="2" t="s">
        <v>10</v>
      </c>
      <c r="E7" s="2" t="s">
        <v>1</v>
      </c>
      <c r="F7" s="2">
        <v>3.5000000000000003E-2</v>
      </c>
      <c r="G7" s="2" t="s">
        <v>10</v>
      </c>
      <c r="I7" s="2" t="s">
        <v>3</v>
      </c>
      <c r="J7" s="2">
        <v>0.06</v>
      </c>
      <c r="K7" s="2" t="s">
        <v>10</v>
      </c>
    </row>
    <row r="8" spans="1:34">
      <c r="A8" s="2" t="s">
        <v>23</v>
      </c>
      <c r="B8" s="2">
        <v>2.5000000000000001E-2</v>
      </c>
      <c r="C8" s="2" t="s">
        <v>10</v>
      </c>
      <c r="E8" s="2" t="s">
        <v>24</v>
      </c>
      <c r="F8" s="2">
        <v>4.5999999999999999E-2</v>
      </c>
      <c r="G8" s="2" t="s">
        <v>10</v>
      </c>
      <c r="I8" s="2" t="s">
        <v>25</v>
      </c>
      <c r="J8" s="2">
        <v>2.5000000000000001E-2</v>
      </c>
      <c r="K8" s="2" t="s">
        <v>10</v>
      </c>
      <c r="AB8" s="3"/>
      <c r="AC8" s="3"/>
      <c r="AD8" s="3"/>
    </row>
    <row r="9" spans="1:34">
      <c r="A9" s="2" t="s">
        <v>26</v>
      </c>
      <c r="B9" s="2">
        <v>1.2E-2</v>
      </c>
      <c r="C9" s="2" t="s">
        <v>10</v>
      </c>
      <c r="E9" s="2" t="s">
        <v>27</v>
      </c>
      <c r="F9" s="2">
        <v>0.45</v>
      </c>
      <c r="G9" s="2" t="s">
        <v>4</v>
      </c>
      <c r="I9" s="2" t="s">
        <v>28</v>
      </c>
      <c r="J9" s="2">
        <v>0.45</v>
      </c>
      <c r="K9" s="2" t="s">
        <v>4</v>
      </c>
      <c r="AB9" s="3"/>
      <c r="AC9" s="3"/>
      <c r="AD9" s="3"/>
    </row>
    <row r="10" spans="1:34">
      <c r="A10" s="2" t="s">
        <v>29</v>
      </c>
      <c r="B10" s="2">
        <v>1.2E-2</v>
      </c>
      <c r="C10" s="2" t="s">
        <v>10</v>
      </c>
      <c r="E10" s="2" t="s">
        <v>30</v>
      </c>
      <c r="F10" s="2">
        <v>1</v>
      </c>
      <c r="G10" s="2" t="s">
        <v>31</v>
      </c>
      <c r="I10" s="2" t="s">
        <v>32</v>
      </c>
      <c r="J10" s="2">
        <v>1</v>
      </c>
      <c r="K10" s="2" t="s">
        <v>31</v>
      </c>
      <c r="AB10" s="3"/>
      <c r="AC10" s="3"/>
      <c r="AD10" s="3"/>
    </row>
    <row r="11" spans="1:34" s="11" customFormat="1">
      <c r="A11" s="11" t="s">
        <v>111</v>
      </c>
      <c r="B11" s="11">
        <v>0.182</v>
      </c>
      <c r="C11" s="11" t="s">
        <v>10</v>
      </c>
      <c r="E11" s="11" t="s">
        <v>89</v>
      </c>
      <c r="F11" s="11">
        <v>299.39999999999998</v>
      </c>
      <c r="G11" s="11" t="s">
        <v>55</v>
      </c>
      <c r="I11" s="11" t="s">
        <v>90</v>
      </c>
      <c r="J11" s="11">
        <v>341.9</v>
      </c>
      <c r="K11" s="11" t="s">
        <v>55</v>
      </c>
    </row>
    <row r="12" spans="1:34" s="11" customFormat="1">
      <c r="E12" s="11" t="s">
        <v>95</v>
      </c>
      <c r="F12" s="11">
        <v>0.8</v>
      </c>
      <c r="G12" s="11" t="s">
        <v>40</v>
      </c>
      <c r="I12" s="11" t="s">
        <v>95</v>
      </c>
      <c r="J12" s="11">
        <v>0.8</v>
      </c>
      <c r="K12" s="11" t="s">
        <v>40</v>
      </c>
    </row>
    <row r="13" spans="1:34" s="11" customFormat="1">
      <c r="A13" s="11" t="s">
        <v>118</v>
      </c>
      <c r="B13" s="11">
        <v>6</v>
      </c>
      <c r="C13" s="11" t="s">
        <v>2</v>
      </c>
      <c r="E13" s="11" t="s">
        <v>109</v>
      </c>
      <c r="F13" s="11">
        <v>0.33300000000000002</v>
      </c>
      <c r="G13" s="11" t="s">
        <v>110</v>
      </c>
      <c r="I13" s="11" t="s">
        <v>109</v>
      </c>
      <c r="J13" s="11">
        <v>0.33300000000000002</v>
      </c>
      <c r="K13" s="11" t="s">
        <v>110</v>
      </c>
    </row>
    <row r="14" spans="1:34">
      <c r="A14" s="2" t="s">
        <v>133</v>
      </c>
      <c r="B14" s="2">
        <v>10</v>
      </c>
      <c r="C14" s="2" t="s">
        <v>2</v>
      </c>
      <c r="F14" s="12"/>
      <c r="I14" s="15"/>
      <c r="J14" s="15"/>
      <c r="K14" s="15"/>
      <c r="L14" s="15"/>
      <c r="M14" s="15"/>
      <c r="N14" s="15"/>
      <c r="O14" s="15"/>
      <c r="P14" s="15"/>
      <c r="Q14" s="15"/>
    </row>
    <row r="15" spans="1:34" ht="15">
      <c r="E15" s="20" t="s">
        <v>33</v>
      </c>
      <c r="F15" s="20"/>
      <c r="G15" s="20"/>
      <c r="I15" s="15"/>
      <c r="J15" s="15"/>
      <c r="K15" s="15"/>
      <c r="L15" s="15"/>
      <c r="M15" s="15"/>
      <c r="N15" s="15"/>
      <c r="O15" s="15"/>
      <c r="P15" s="15"/>
      <c r="Q15" s="15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</row>
    <row r="16" spans="1:34" ht="14.25" customHeight="1">
      <c r="A16" s="20" t="s">
        <v>75</v>
      </c>
      <c r="B16" s="20"/>
      <c r="C16" s="20"/>
      <c r="E16" s="2" t="s">
        <v>35</v>
      </c>
      <c r="F16" s="2">
        <v>1.21</v>
      </c>
      <c r="G16" s="2" t="s">
        <v>36</v>
      </c>
      <c r="I16" s="15"/>
      <c r="J16" s="15"/>
      <c r="K16" s="15"/>
      <c r="L16" s="15"/>
      <c r="M16" s="15"/>
      <c r="N16" s="15"/>
      <c r="O16" s="15"/>
      <c r="P16" s="15"/>
      <c r="Q16" s="15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</row>
    <row r="17" spans="1:34" ht="14.25" customHeight="1">
      <c r="A17" s="5" t="s">
        <v>34</v>
      </c>
      <c r="B17" s="5">
        <v>2.9</v>
      </c>
      <c r="C17" s="5" t="s">
        <v>0</v>
      </c>
      <c r="E17" s="2" t="s">
        <v>39</v>
      </c>
      <c r="F17" s="2">
        <v>1.212</v>
      </c>
      <c r="G17" s="2" t="s">
        <v>40</v>
      </c>
      <c r="I17" s="15"/>
      <c r="J17" s="15"/>
      <c r="K17" s="15"/>
      <c r="L17" s="15"/>
      <c r="M17" s="15"/>
      <c r="N17" s="15"/>
      <c r="O17" s="15"/>
      <c r="P17" s="15"/>
      <c r="Q17" s="15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</row>
    <row r="18" spans="1:34" ht="14.25" customHeight="1">
      <c r="A18" s="5" t="s">
        <v>37</v>
      </c>
      <c r="B18" s="5">
        <v>196</v>
      </c>
      <c r="C18" s="5" t="s">
        <v>38</v>
      </c>
      <c r="E18" s="2" t="s">
        <v>42</v>
      </c>
      <c r="F18" s="2">
        <v>1.8620000000000001</v>
      </c>
      <c r="G18" s="2" t="s">
        <v>43</v>
      </c>
      <c r="I18" s="7"/>
      <c r="J18" s="7"/>
      <c r="K18" s="7"/>
      <c r="L18" s="7"/>
      <c r="M18" s="7"/>
      <c r="N18" s="7"/>
      <c r="O18" s="7"/>
      <c r="P18" s="7"/>
      <c r="Q18" s="7"/>
      <c r="V18" s="5"/>
      <c r="W18" s="5"/>
      <c r="X18" s="5"/>
      <c r="AB18" s="7"/>
      <c r="AC18" s="7"/>
      <c r="AD18" s="7"/>
      <c r="AE18" s="7"/>
      <c r="AF18" s="7"/>
      <c r="AG18" s="7"/>
      <c r="AH18" s="7"/>
    </row>
    <row r="19" spans="1:34" ht="14.25" customHeight="1">
      <c r="A19" s="5" t="s">
        <v>41</v>
      </c>
      <c r="B19" s="5">
        <v>3.1</v>
      </c>
      <c r="C19" s="5" t="s">
        <v>0</v>
      </c>
      <c r="E19" s="2" t="s">
        <v>45</v>
      </c>
      <c r="F19" s="2">
        <v>0.311</v>
      </c>
      <c r="G19" s="2" t="s">
        <v>40</v>
      </c>
      <c r="I19" s="7"/>
      <c r="J19" s="7"/>
      <c r="K19" s="7"/>
      <c r="L19" s="7"/>
      <c r="M19" s="7"/>
      <c r="N19" s="7"/>
      <c r="O19" s="7"/>
      <c r="P19" s="7"/>
      <c r="Q19" s="7"/>
      <c r="W19" s="5"/>
      <c r="X19" s="5"/>
      <c r="AB19" s="7"/>
      <c r="AC19" s="7"/>
      <c r="AD19" s="7"/>
      <c r="AE19" s="7"/>
      <c r="AF19" s="7"/>
      <c r="AG19" s="7"/>
      <c r="AH19" s="7"/>
    </row>
    <row r="20" spans="1:34" ht="14.25" customHeight="1">
      <c r="A20" s="5" t="s">
        <v>44</v>
      </c>
      <c r="B20" s="5">
        <v>335.1</v>
      </c>
      <c r="C20" s="5" t="s">
        <v>38</v>
      </c>
      <c r="D20" s="5"/>
      <c r="I20" s="7"/>
      <c r="J20" s="7"/>
      <c r="K20" s="7"/>
      <c r="L20" s="7"/>
      <c r="M20" s="7"/>
      <c r="N20" s="7"/>
      <c r="O20" s="7"/>
      <c r="P20" s="7"/>
      <c r="Q20" s="7"/>
      <c r="V20" s="5"/>
      <c r="W20" s="5"/>
      <c r="X20" s="5"/>
      <c r="AB20" s="7"/>
      <c r="AC20" s="7"/>
      <c r="AD20" s="7"/>
      <c r="AE20" s="7"/>
      <c r="AF20" s="7"/>
      <c r="AG20" s="7"/>
      <c r="AH20" s="7"/>
    </row>
    <row r="21" spans="1:34" ht="14.25" customHeight="1">
      <c r="A21" s="5" t="s">
        <v>46</v>
      </c>
      <c r="B21" s="5">
        <v>1.5</v>
      </c>
      <c r="C21" s="5" t="s">
        <v>0</v>
      </c>
      <c r="E21" s="2" t="s">
        <v>48</v>
      </c>
      <c r="F21" s="2">
        <v>3.2</v>
      </c>
      <c r="G21" s="2" t="s">
        <v>0</v>
      </c>
      <c r="I21" s="15"/>
      <c r="J21" s="15"/>
      <c r="K21" s="15"/>
      <c r="L21" s="15"/>
      <c r="M21" s="5"/>
      <c r="N21" s="5"/>
      <c r="O21" s="5"/>
      <c r="P21" s="15"/>
      <c r="Q21" s="15"/>
      <c r="V21" s="5"/>
      <c r="W21" s="5"/>
      <c r="X21" s="5"/>
      <c r="AB21" s="7"/>
      <c r="AC21" s="7"/>
      <c r="AD21" s="7"/>
      <c r="AE21" s="7"/>
      <c r="AF21" s="7"/>
      <c r="AG21" s="7"/>
      <c r="AH21" s="7"/>
    </row>
    <row r="22" spans="1:34" s="3" customFormat="1" ht="14.25" customHeight="1">
      <c r="A22" s="5" t="s">
        <v>47</v>
      </c>
      <c r="B22" s="5">
        <v>126</v>
      </c>
      <c r="C22" s="5" t="s">
        <v>38</v>
      </c>
      <c r="D22" s="2"/>
      <c r="E22" s="3" t="s">
        <v>76</v>
      </c>
      <c r="F22" s="3">
        <v>7</v>
      </c>
      <c r="G22" s="3" t="s">
        <v>2</v>
      </c>
      <c r="I22" s="15"/>
      <c r="J22" s="15"/>
      <c r="K22" s="15"/>
      <c r="L22" s="15"/>
      <c r="M22" s="15"/>
      <c r="N22" s="5"/>
      <c r="O22" s="5"/>
      <c r="P22" s="15"/>
      <c r="Q22" s="15"/>
      <c r="V22" s="5"/>
      <c r="W22" s="5"/>
      <c r="X22" s="5"/>
      <c r="AB22" s="7"/>
      <c r="AC22" s="7"/>
      <c r="AD22" s="7"/>
      <c r="AE22" s="7"/>
      <c r="AF22" s="7"/>
      <c r="AG22" s="7"/>
      <c r="AH22" s="7"/>
    </row>
    <row r="23" spans="1:34" s="3" customFormat="1" ht="14.25" customHeight="1">
      <c r="A23" s="5"/>
      <c r="B23" s="5"/>
      <c r="C23" s="5"/>
      <c r="E23" s="3" t="s">
        <v>77</v>
      </c>
      <c r="F23" s="3">
        <v>6</v>
      </c>
      <c r="G23" s="3" t="s">
        <v>2</v>
      </c>
      <c r="I23" s="15"/>
      <c r="J23" s="15"/>
      <c r="K23" s="15"/>
      <c r="L23" s="5"/>
      <c r="M23" s="5"/>
      <c r="N23" s="5"/>
      <c r="O23" s="5"/>
      <c r="P23" s="15"/>
      <c r="Q23" s="15"/>
      <c r="V23" s="5"/>
      <c r="W23" s="5"/>
      <c r="X23" s="5"/>
      <c r="AB23" s="7"/>
      <c r="AC23" s="7"/>
      <c r="AD23" s="7"/>
      <c r="AE23" s="7"/>
      <c r="AF23" s="7"/>
      <c r="AG23" s="7"/>
      <c r="AH23" s="7"/>
    </row>
    <row r="24" spans="1:34" s="3" customFormat="1" ht="14.25" customHeight="1">
      <c r="A24" s="5"/>
      <c r="B24" s="5"/>
      <c r="C24" s="5"/>
      <c r="E24" s="3" t="s">
        <v>113</v>
      </c>
      <c r="F24" s="3">
        <v>8</v>
      </c>
      <c r="G24" s="3" t="s">
        <v>2</v>
      </c>
      <c r="I24" s="15"/>
      <c r="J24" s="15"/>
      <c r="K24" s="15"/>
      <c r="L24" s="15"/>
      <c r="M24" s="5"/>
      <c r="N24" s="5"/>
      <c r="O24" s="5"/>
      <c r="P24" s="15"/>
      <c r="Q24" s="15"/>
      <c r="V24" s="5"/>
      <c r="W24" s="5"/>
      <c r="X24" s="5"/>
      <c r="AB24" s="7"/>
      <c r="AC24" s="7"/>
      <c r="AD24" s="7"/>
      <c r="AE24" s="7"/>
      <c r="AF24" s="7"/>
      <c r="AG24" s="7"/>
      <c r="AH24" s="7"/>
    </row>
    <row r="25" spans="1:34" s="3" customFormat="1" ht="14.25" customHeight="1">
      <c r="A25" s="5"/>
      <c r="B25" s="5"/>
      <c r="C25" s="5"/>
      <c r="E25" s="3" t="s">
        <v>114</v>
      </c>
      <c r="F25" s="3">
        <v>10</v>
      </c>
      <c r="G25" s="3" t="s">
        <v>2</v>
      </c>
      <c r="I25" s="15"/>
      <c r="J25" s="15"/>
      <c r="K25" s="15"/>
      <c r="L25" s="15"/>
      <c r="M25" s="5"/>
      <c r="N25" s="5"/>
      <c r="O25" s="5"/>
      <c r="P25" s="15"/>
      <c r="Q25" s="15"/>
      <c r="V25" s="5"/>
      <c r="W25" s="5"/>
      <c r="X25" s="5"/>
      <c r="AB25" s="7"/>
      <c r="AC25" s="7"/>
      <c r="AD25" s="7"/>
      <c r="AE25" s="7"/>
      <c r="AF25" s="7"/>
      <c r="AG25" s="7"/>
      <c r="AH25" s="7"/>
    </row>
    <row r="26" spans="1:34" s="3" customFormat="1" ht="14.25" customHeight="1">
      <c r="A26" s="5"/>
      <c r="B26" s="5"/>
      <c r="C26" s="5"/>
      <c r="I26" s="15"/>
      <c r="J26" s="15"/>
      <c r="K26" s="15"/>
      <c r="L26" s="15"/>
      <c r="M26" s="5"/>
      <c r="N26" s="5"/>
      <c r="O26" s="5"/>
      <c r="P26" s="15"/>
      <c r="Q26" s="15"/>
      <c r="V26" s="5"/>
      <c r="W26" s="5"/>
      <c r="X26" s="5"/>
      <c r="AB26" s="7"/>
      <c r="AC26" s="7"/>
      <c r="AD26" s="7"/>
      <c r="AE26" s="7"/>
      <c r="AF26" s="7"/>
      <c r="AG26" s="7"/>
      <c r="AH26" s="7"/>
    </row>
    <row r="27" spans="1:34" s="3" customFormat="1" ht="14.25" customHeight="1">
      <c r="A27" s="5"/>
      <c r="B27" s="5"/>
      <c r="C27" s="5"/>
      <c r="I27" s="15"/>
      <c r="J27" s="15"/>
      <c r="K27" s="15"/>
      <c r="L27" s="15"/>
      <c r="M27" s="5"/>
      <c r="N27" s="5"/>
      <c r="O27" s="5"/>
      <c r="P27" s="15"/>
      <c r="Q27" s="15"/>
      <c r="V27" s="5"/>
      <c r="W27" s="5"/>
      <c r="X27" s="5"/>
      <c r="AB27" s="7"/>
      <c r="AC27" s="7"/>
      <c r="AD27" s="7"/>
      <c r="AE27" s="7"/>
      <c r="AF27" s="7"/>
      <c r="AG27" s="7"/>
      <c r="AH27" s="7"/>
    </row>
    <row r="28" spans="1:34" s="3" customFormat="1" ht="14.25" customHeight="1">
      <c r="A28" s="5"/>
      <c r="B28" s="5"/>
      <c r="C28" s="5"/>
      <c r="I28" s="15"/>
      <c r="J28" s="15"/>
      <c r="K28" s="15"/>
      <c r="L28" s="15"/>
      <c r="M28" s="5"/>
      <c r="N28" s="5"/>
      <c r="O28" s="5"/>
      <c r="P28" s="15"/>
      <c r="Q28" s="15"/>
      <c r="V28" s="5"/>
      <c r="W28" s="5"/>
      <c r="X28" s="5"/>
      <c r="AB28" s="7"/>
      <c r="AC28" s="7"/>
      <c r="AD28" s="7"/>
      <c r="AE28" s="7"/>
      <c r="AF28" s="7"/>
      <c r="AG28" s="7"/>
      <c r="AH28" s="7"/>
    </row>
    <row r="29" spans="1:34" s="3" customFormat="1" ht="14.25" customHeight="1">
      <c r="A29" s="5"/>
      <c r="B29" s="5"/>
      <c r="C29" s="5"/>
      <c r="I29" s="15"/>
      <c r="J29" s="15"/>
      <c r="K29" s="15"/>
      <c r="L29" s="15"/>
      <c r="M29" s="5"/>
      <c r="N29" s="5"/>
      <c r="O29" s="5"/>
      <c r="P29" s="15"/>
      <c r="Q29" s="15"/>
      <c r="V29" s="5"/>
      <c r="W29" s="5"/>
      <c r="X29" s="5"/>
      <c r="AB29" s="7"/>
      <c r="AC29" s="7"/>
      <c r="AD29" s="7"/>
      <c r="AE29" s="7"/>
      <c r="AF29" s="7"/>
      <c r="AG29" s="7"/>
      <c r="AH29" s="7"/>
    </row>
    <row r="30" spans="1:34" s="3" customFormat="1" ht="14.25" customHeight="1">
      <c r="A30" s="5"/>
      <c r="B30" s="5"/>
      <c r="C30" s="5"/>
      <c r="I30" s="15"/>
      <c r="J30" s="15"/>
      <c r="K30" s="15"/>
      <c r="L30" s="15"/>
      <c r="M30" s="5"/>
      <c r="N30" s="5"/>
      <c r="O30" s="5"/>
      <c r="P30" s="15"/>
      <c r="Q30" s="15"/>
      <c r="V30" s="5"/>
      <c r="W30" s="5"/>
      <c r="X30" s="5"/>
      <c r="AB30" s="7"/>
      <c r="AC30" s="7"/>
      <c r="AD30" s="7"/>
      <c r="AE30" s="7"/>
      <c r="AF30" s="7"/>
      <c r="AG30" s="7"/>
      <c r="AH30" s="7"/>
    </row>
    <row r="31" spans="1:34" s="3" customFormat="1" ht="14.25" customHeight="1">
      <c r="A31" s="5"/>
      <c r="B31" s="5"/>
      <c r="C31" s="5"/>
      <c r="I31" s="15"/>
      <c r="J31" s="15"/>
      <c r="K31" s="15"/>
      <c r="L31" s="15"/>
      <c r="M31" s="5"/>
      <c r="N31" s="5"/>
      <c r="O31" s="5"/>
      <c r="P31" s="15"/>
      <c r="Q31" s="15"/>
      <c r="V31" s="5"/>
      <c r="W31" s="5"/>
      <c r="X31" s="5"/>
      <c r="AB31" s="7"/>
      <c r="AC31" s="7"/>
      <c r="AD31" s="7"/>
      <c r="AE31" s="7"/>
      <c r="AF31" s="7"/>
      <c r="AG31" s="7"/>
      <c r="AH31" s="7"/>
    </row>
    <row r="32" spans="1:34" ht="15.75">
      <c r="A32" s="19" t="s">
        <v>49</v>
      </c>
      <c r="B32" s="19"/>
      <c r="C32" s="19"/>
      <c r="D32" s="19"/>
      <c r="E32" s="19"/>
      <c r="F32" s="19"/>
      <c r="G32" s="19"/>
      <c r="H32" s="19"/>
      <c r="I32" s="19"/>
      <c r="J32" s="19"/>
      <c r="K32" s="19"/>
      <c r="L32" s="19"/>
      <c r="M32" s="19"/>
      <c r="N32" s="19"/>
      <c r="O32" s="19"/>
      <c r="P32" s="19"/>
      <c r="Q32" s="19"/>
      <c r="R32" s="19"/>
      <c r="S32" s="19"/>
      <c r="T32" s="19"/>
      <c r="U32" s="19"/>
      <c r="V32" s="19"/>
      <c r="W32" s="19"/>
      <c r="AB32" s="7"/>
      <c r="AC32" s="7"/>
      <c r="AD32" s="7"/>
      <c r="AE32" s="7"/>
      <c r="AF32" s="7"/>
      <c r="AG32" s="7"/>
      <c r="AH32" s="7"/>
    </row>
    <row r="33" spans="1:34" ht="14.25" customHeight="1">
      <c r="AB33" s="7"/>
      <c r="AC33" s="7"/>
      <c r="AD33" s="7"/>
      <c r="AE33" s="7"/>
      <c r="AF33" s="7"/>
      <c r="AG33" s="7"/>
      <c r="AH33" s="7"/>
    </row>
    <row r="34" spans="1:34" ht="15">
      <c r="A34" s="20" t="s">
        <v>50</v>
      </c>
      <c r="B34" s="20"/>
      <c r="C34" s="20"/>
      <c r="E34" s="20" t="s">
        <v>51</v>
      </c>
      <c r="F34" s="20"/>
      <c r="G34" s="20"/>
      <c r="I34" s="17" t="s">
        <v>134</v>
      </c>
      <c r="J34" s="17"/>
      <c r="K34" s="17"/>
      <c r="M34" s="13" t="s">
        <v>88</v>
      </c>
      <c r="N34" s="12"/>
      <c r="O34" s="12"/>
      <c r="P34" s="8"/>
      <c r="Q34" s="8"/>
      <c r="R34" s="8"/>
      <c r="S34" s="5"/>
      <c r="T34" s="28"/>
      <c r="U34" s="28"/>
      <c r="V34" s="28"/>
      <c r="W34" s="4"/>
      <c r="X34" s="4"/>
      <c r="Y34" s="4"/>
      <c r="Z34" s="22"/>
      <c r="AA34" s="22"/>
      <c r="AB34" s="23"/>
      <c r="AC34" s="23"/>
      <c r="AD34" s="7"/>
      <c r="AE34" s="7"/>
      <c r="AF34" s="7"/>
      <c r="AG34" s="7"/>
      <c r="AH34" s="7"/>
    </row>
    <row r="35" spans="1:34" ht="14.25" customHeight="1">
      <c r="A35" s="2" t="s">
        <v>52</v>
      </c>
      <c r="B35" s="2">
        <f>B5*9.81*B4/F4</f>
        <v>19742.624999999996</v>
      </c>
      <c r="C35" s="2" t="s">
        <v>53</v>
      </c>
      <c r="E35" s="5" t="s">
        <v>54</v>
      </c>
      <c r="F35" s="5">
        <f>0.5*F16*F17*F18*((B18/3.6)^2)</f>
        <v>4047.1081705185179</v>
      </c>
      <c r="G35" s="5" t="s">
        <v>13</v>
      </c>
      <c r="I35" s="2" t="s">
        <v>84</v>
      </c>
      <c r="J35" s="2">
        <f>F50*9.81*0.6</f>
        <v>2510.8569230769235</v>
      </c>
      <c r="K35" s="2" t="s">
        <v>13</v>
      </c>
      <c r="M35" s="12" t="s">
        <v>91</v>
      </c>
      <c r="N35" s="12">
        <f>F11*J37/(J37+F11)</f>
        <v>77.528376471215424</v>
      </c>
      <c r="O35" s="12" t="s">
        <v>55</v>
      </c>
      <c r="P35" s="5"/>
      <c r="Q35" s="5"/>
      <c r="R35" s="9"/>
      <c r="S35" s="9"/>
      <c r="T35" s="9"/>
      <c r="U35" s="9"/>
      <c r="V35" s="9"/>
      <c r="W35" s="4"/>
      <c r="X35" s="4"/>
      <c r="Y35" s="4"/>
      <c r="Z35" s="10"/>
      <c r="AA35" s="10"/>
      <c r="AB35" s="23"/>
      <c r="AC35" s="23"/>
      <c r="AD35" s="7"/>
      <c r="AE35" s="7"/>
      <c r="AF35" s="7"/>
      <c r="AG35" s="7"/>
      <c r="AH35" s="7"/>
    </row>
    <row r="36" spans="1:34" ht="15" customHeight="1">
      <c r="A36" s="2" t="s">
        <v>56</v>
      </c>
      <c r="B36" s="2">
        <f>B5*9.81*B4/J4</f>
        <v>19742.624999999996</v>
      </c>
      <c r="C36" s="2" t="s">
        <v>53</v>
      </c>
      <c r="E36" s="5" t="s">
        <v>57</v>
      </c>
      <c r="F36" s="5">
        <f>(B17*B5/F5)*((B4-B39)*B35/(B35+B36)-B38/B7*F6)</f>
        <v>188.66427492447124</v>
      </c>
      <c r="G36" s="5" t="s">
        <v>15</v>
      </c>
      <c r="I36" s="2" t="s">
        <v>30</v>
      </c>
      <c r="J36" s="2">
        <f>SQRT(F22/(B9*1000))</f>
        <v>0.76376261582597338</v>
      </c>
      <c r="M36" s="12" t="s">
        <v>92</v>
      </c>
      <c r="N36" s="12">
        <f>J41*J11/(J11+J41)</f>
        <v>30.716162836533798</v>
      </c>
      <c r="O36" s="12" t="s">
        <v>55</v>
      </c>
      <c r="P36" s="5"/>
      <c r="Q36" s="5"/>
      <c r="R36" s="5"/>
      <c r="S36" s="5"/>
      <c r="T36" s="5"/>
      <c r="U36" s="5"/>
      <c r="V36" s="5"/>
      <c r="W36" s="4"/>
      <c r="X36" s="4"/>
      <c r="Y36" s="4"/>
      <c r="Z36" s="24"/>
      <c r="AA36" s="24"/>
      <c r="AB36" s="23"/>
      <c r="AC36" s="23"/>
      <c r="AD36" s="7"/>
      <c r="AE36" s="7"/>
      <c r="AF36" s="7"/>
      <c r="AG36" s="7"/>
      <c r="AH36" s="7"/>
    </row>
    <row r="37" spans="1:34" ht="14.25" customHeight="1">
      <c r="A37" s="2" t="s">
        <v>58</v>
      </c>
      <c r="B37" s="2">
        <f>B7*B6</f>
        <v>1.3747499999999999</v>
      </c>
      <c r="C37" s="2" t="s">
        <v>10</v>
      </c>
      <c r="E37" s="5" t="s">
        <v>59</v>
      </c>
      <c r="F37" s="5">
        <f>(B17*B5/J5)*((B4-B39)*B36/(B35+B36)-B37/B7*J6)</f>
        <v>170.14772727272722</v>
      </c>
      <c r="G37" s="5" t="s">
        <v>15</v>
      </c>
      <c r="I37" s="2" t="s">
        <v>78</v>
      </c>
      <c r="J37" s="2">
        <f>J35/(2*F22)*(J36^2)</f>
        <v>104.61903846153848</v>
      </c>
      <c r="K37" s="2" t="s">
        <v>55</v>
      </c>
      <c r="M37" s="12" t="s">
        <v>93</v>
      </c>
      <c r="N37" s="12">
        <f>SQRT(2*(F10^2)*J37*(10^3)/B46)</f>
        <v>21.065875413612385</v>
      </c>
      <c r="O37" s="12" t="s">
        <v>99</v>
      </c>
      <c r="P37" s="5"/>
      <c r="Q37" s="5"/>
      <c r="R37" s="9"/>
      <c r="S37" s="5"/>
      <c r="T37" s="5"/>
      <c r="U37" s="5"/>
      <c r="V37" s="5"/>
      <c r="W37" s="4"/>
      <c r="X37" s="4"/>
      <c r="Y37" s="4"/>
      <c r="Z37" s="24"/>
      <c r="AA37" s="24"/>
      <c r="AB37" s="23"/>
      <c r="AC37" s="23"/>
      <c r="AD37" s="7"/>
      <c r="AE37" s="7"/>
      <c r="AF37" s="7"/>
      <c r="AG37" s="7"/>
      <c r="AH37" s="7"/>
    </row>
    <row r="38" spans="1:34" ht="14.25" customHeight="1">
      <c r="A38" s="2" t="s">
        <v>60</v>
      </c>
      <c r="B38" s="2">
        <f>B7*(1-B6)</f>
        <v>1.5502499999999999</v>
      </c>
      <c r="C38" s="2" t="s">
        <v>10</v>
      </c>
      <c r="E38" s="5" t="s">
        <v>61</v>
      </c>
      <c r="F38" s="5">
        <f>B40/2+F36+F35*F19/2/9.81</f>
        <v>523.06568374359756</v>
      </c>
      <c r="G38" s="5" t="s">
        <v>15</v>
      </c>
      <c r="M38" s="12" t="s">
        <v>94</v>
      </c>
      <c r="N38" s="12">
        <f>SQRT(2*(J10^2)*J41*(10^3)/B47)</f>
        <v>11.549528492177005</v>
      </c>
      <c r="O38" s="12" t="s">
        <v>99</v>
      </c>
      <c r="P38" s="5"/>
      <c r="Q38" s="5"/>
      <c r="R38" s="9"/>
      <c r="S38" s="5"/>
      <c r="T38" s="5"/>
      <c r="U38" s="5"/>
      <c r="V38" s="5"/>
      <c r="W38" s="4"/>
      <c r="X38" s="4"/>
      <c r="Y38" s="4"/>
      <c r="Z38" s="24"/>
      <c r="AA38" s="24"/>
      <c r="AB38" s="23"/>
      <c r="AC38" s="23"/>
      <c r="AD38" s="7"/>
      <c r="AE38" s="7"/>
      <c r="AF38" s="7"/>
      <c r="AG38" s="7"/>
      <c r="AH38" s="7"/>
    </row>
    <row r="39" spans="1:34" ht="14.25" customHeight="1">
      <c r="A39" s="2" t="s">
        <v>62</v>
      </c>
      <c r="B39" s="2">
        <f>F6*B37/B7+J6*B38/B7</f>
        <v>8.854999999999999E-2</v>
      </c>
      <c r="C39" s="2" t="s">
        <v>10</v>
      </c>
      <c r="E39" s="5" t="s">
        <v>63</v>
      </c>
      <c r="F39" s="5">
        <f>B40/2-F36+F35*F19/2/9.81</f>
        <v>145.7371338946551</v>
      </c>
      <c r="G39" s="5" t="s">
        <v>15</v>
      </c>
      <c r="I39" s="12" t="s">
        <v>85</v>
      </c>
      <c r="J39" s="12">
        <f>F56*9.81*0.4</f>
        <v>809.95384615384626</v>
      </c>
      <c r="K39" s="12" t="s">
        <v>13</v>
      </c>
      <c r="M39" s="12" t="s">
        <v>97</v>
      </c>
      <c r="N39" s="12">
        <f>2*B46/2*N37/(10^3)</f>
        <v>9.9325602575182401</v>
      </c>
      <c r="O39" s="12" t="s">
        <v>96</v>
      </c>
      <c r="P39" s="5"/>
      <c r="Q39" s="5"/>
      <c r="R39" s="9"/>
      <c r="S39" s="5"/>
      <c r="T39" s="5"/>
      <c r="U39" s="5"/>
      <c r="V39" s="5"/>
      <c r="W39" s="4"/>
      <c r="X39" s="4"/>
      <c r="Y39" s="4"/>
      <c r="Z39" s="24"/>
      <c r="AA39" s="24"/>
      <c r="AB39" s="23"/>
      <c r="AC39" s="23"/>
      <c r="AD39" s="7"/>
      <c r="AE39" s="7"/>
      <c r="AF39" s="7"/>
      <c r="AG39" s="7"/>
      <c r="AH39" s="7"/>
    </row>
    <row r="40" spans="1:34" ht="14.25" customHeight="1">
      <c r="A40" s="2" t="s">
        <v>64</v>
      </c>
      <c r="B40" s="2">
        <f>B5*B37/B7</f>
        <v>540.5</v>
      </c>
      <c r="C40" s="2" t="s">
        <v>15</v>
      </c>
      <c r="E40" s="5" t="s">
        <v>65</v>
      </c>
      <c r="F40" s="5">
        <f>B41/2+F37+F35*(1-F19)/2/9.81</f>
        <v>617.02094488165994</v>
      </c>
      <c r="G40" s="5" t="s">
        <v>15</v>
      </c>
      <c r="I40" s="2" t="s">
        <v>32</v>
      </c>
      <c r="J40" s="2">
        <f>SQRT(F23/(B10*1000))</f>
        <v>0.70710678118654757</v>
      </c>
      <c r="M40" s="12" t="s">
        <v>98</v>
      </c>
      <c r="N40" s="12">
        <f>2*B47/2*N38/(10^3)</f>
        <v>5.8440614170415648</v>
      </c>
      <c r="O40" s="12" t="s">
        <v>96</v>
      </c>
      <c r="P40" s="5"/>
      <c r="Q40" s="5"/>
      <c r="R40" s="9"/>
      <c r="S40" s="5"/>
      <c r="T40" s="5"/>
      <c r="U40" s="5"/>
      <c r="V40" s="5"/>
      <c r="W40" s="4"/>
      <c r="X40" s="4"/>
      <c r="Y40" s="4"/>
      <c r="Z40" s="24"/>
      <c r="AA40" s="24"/>
      <c r="AB40" s="23"/>
      <c r="AC40" s="23"/>
      <c r="AD40" s="7"/>
      <c r="AE40" s="7"/>
      <c r="AF40" s="7"/>
      <c r="AG40" s="7"/>
      <c r="AH40" s="7"/>
    </row>
    <row r="41" spans="1:34" ht="14.25" customHeight="1">
      <c r="A41" s="2" t="s">
        <v>66</v>
      </c>
      <c r="B41" s="2">
        <f>B5*B38/B7</f>
        <v>609.5</v>
      </c>
      <c r="C41" s="2" t="s">
        <v>15</v>
      </c>
      <c r="E41" s="5" t="s">
        <v>67</v>
      </c>
      <c r="F41" s="5">
        <f>B41/2-F37+F35*(1-F19)/2/9.81</f>
        <v>276.72549033620544</v>
      </c>
      <c r="G41" s="5" t="s">
        <v>15</v>
      </c>
      <c r="I41" s="12" t="s">
        <v>79</v>
      </c>
      <c r="J41" s="12">
        <f>J39/(2*F23)*(J40^2)</f>
        <v>33.748076923076937</v>
      </c>
      <c r="K41" s="12" t="s">
        <v>55</v>
      </c>
      <c r="M41" s="14"/>
      <c r="N41" s="14"/>
      <c r="O41" s="14"/>
      <c r="P41" s="5"/>
      <c r="Q41" s="5"/>
      <c r="R41" s="9"/>
      <c r="S41" s="5"/>
      <c r="T41" s="5"/>
      <c r="U41" s="5"/>
      <c r="V41" s="5"/>
      <c r="W41" s="4"/>
      <c r="X41" s="4"/>
      <c r="Y41" s="4"/>
      <c r="Z41" s="24"/>
      <c r="AA41" s="24"/>
      <c r="AB41" s="23"/>
      <c r="AC41" s="23"/>
      <c r="AD41" s="7"/>
      <c r="AE41" s="7"/>
      <c r="AF41" s="7"/>
      <c r="AG41" s="7"/>
      <c r="AH41" s="7"/>
    </row>
    <row r="42" spans="1:34" ht="14.25" customHeight="1">
      <c r="A42" s="2" t="s">
        <v>86</v>
      </c>
      <c r="B42" s="2">
        <f>B5*0.15</f>
        <v>172.5</v>
      </c>
      <c r="C42" s="2" t="s">
        <v>15</v>
      </c>
      <c r="E42" s="5" t="s">
        <v>68</v>
      </c>
      <c r="F42" s="5">
        <f>B35/(B35+B36)</f>
        <v>0.5</v>
      </c>
      <c r="G42" s="5" t="s">
        <v>40</v>
      </c>
      <c r="M42" s="12" t="s">
        <v>121</v>
      </c>
      <c r="N42" s="12">
        <f>J53*F11/(F11+J53)*1000</f>
        <v>50694.525962361418</v>
      </c>
      <c r="O42" s="12" t="s">
        <v>125</v>
      </c>
      <c r="P42" s="5"/>
      <c r="Q42" s="5"/>
      <c r="R42" s="9"/>
      <c r="S42" s="5"/>
      <c r="T42" s="24"/>
      <c r="U42" s="29"/>
      <c r="V42" s="10"/>
      <c r="W42" s="4"/>
      <c r="X42" s="4"/>
      <c r="Y42" s="4"/>
      <c r="Z42" s="24"/>
      <c r="AA42" s="24"/>
      <c r="AB42" s="23"/>
      <c r="AC42" s="23"/>
      <c r="AD42" s="7"/>
      <c r="AE42" s="7"/>
      <c r="AF42" s="7"/>
      <c r="AG42" s="7"/>
      <c r="AH42" s="7"/>
    </row>
    <row r="43" spans="1:34" ht="14.25" customHeight="1">
      <c r="A43" s="2" t="s">
        <v>80</v>
      </c>
      <c r="B43" s="2">
        <f>B42*0.4</f>
        <v>69</v>
      </c>
      <c r="C43" s="2" t="s">
        <v>15</v>
      </c>
      <c r="E43" s="5" t="s">
        <v>69</v>
      </c>
      <c r="F43" s="5">
        <f>B36/(B36+B35)</f>
        <v>0.5</v>
      </c>
      <c r="G43" s="5" t="s">
        <v>40</v>
      </c>
      <c r="I43" s="18" t="s">
        <v>112</v>
      </c>
      <c r="J43" s="18"/>
      <c r="K43" s="18"/>
      <c r="M43" s="12" t="s">
        <v>122</v>
      </c>
      <c r="N43" s="12">
        <f>J54*J11/(J11+J54)*1000</f>
        <v>16080.410318257964</v>
      </c>
      <c r="O43" s="12" t="s">
        <v>125</v>
      </c>
      <c r="P43" s="5"/>
      <c r="Q43" s="5"/>
      <c r="R43" s="9"/>
      <c r="S43" s="5"/>
      <c r="T43" s="24"/>
      <c r="U43" s="29"/>
      <c r="V43" s="10"/>
      <c r="W43" s="4"/>
      <c r="X43" s="4"/>
      <c r="Y43" s="4"/>
      <c r="Z43" s="24"/>
      <c r="AA43" s="24"/>
      <c r="AB43" s="23"/>
      <c r="AC43" s="23"/>
      <c r="AD43" s="7"/>
      <c r="AE43" s="7"/>
      <c r="AF43" s="7"/>
      <c r="AG43" s="7"/>
      <c r="AH43" s="7"/>
    </row>
    <row r="44" spans="1:34" ht="14.25" customHeight="1">
      <c r="A44" s="2" t="s">
        <v>81</v>
      </c>
      <c r="B44" s="2">
        <f>B42*0.6</f>
        <v>103.5</v>
      </c>
      <c r="C44" s="11" t="s">
        <v>15</v>
      </c>
      <c r="E44" s="5" t="s">
        <v>70</v>
      </c>
      <c r="F44" s="5">
        <f>F36/(F36+F37)</f>
        <v>0.5258025756362068</v>
      </c>
      <c r="G44" s="5" t="s">
        <v>40</v>
      </c>
      <c r="I44" s="2" t="s">
        <v>116</v>
      </c>
      <c r="J44" s="2">
        <f>SQRT(F24/(B13))</f>
        <v>1.1547005383792515</v>
      </c>
      <c r="K44" s="2" t="s">
        <v>40</v>
      </c>
      <c r="M44" s="2" t="s">
        <v>127</v>
      </c>
      <c r="N44" s="2">
        <f>J54*J49*J48^2/(J49*J48^2+J54)*1000</f>
        <v>16531.792576547443</v>
      </c>
      <c r="O44" s="2" t="s">
        <v>125</v>
      </c>
      <c r="P44" s="5"/>
      <c r="Q44" s="5"/>
      <c r="R44" s="9"/>
      <c r="S44" s="5"/>
      <c r="T44" s="24"/>
      <c r="U44" s="29"/>
      <c r="V44" s="10"/>
      <c r="W44" s="4"/>
      <c r="X44" s="4"/>
      <c r="Y44" s="4"/>
      <c r="Z44" s="24"/>
      <c r="AA44" s="24"/>
      <c r="AB44" s="23"/>
      <c r="AC44" s="23"/>
      <c r="AD44" s="7"/>
      <c r="AE44" s="7"/>
      <c r="AF44" s="7"/>
      <c r="AG44" s="7"/>
      <c r="AH44" s="7"/>
    </row>
    <row r="45" spans="1:34" ht="14.25" customHeight="1">
      <c r="A45" s="2" t="s">
        <v>87</v>
      </c>
      <c r="B45" s="11">
        <f>B5*0.85</f>
        <v>977.5</v>
      </c>
      <c r="C45" s="2" t="s">
        <v>15</v>
      </c>
      <c r="E45" s="5" t="s">
        <v>71</v>
      </c>
      <c r="F45" s="5">
        <f>F37/(F37+F36)</f>
        <v>0.4741974243637932</v>
      </c>
      <c r="G45" s="5" t="s">
        <v>40</v>
      </c>
      <c r="I45" s="2" t="s">
        <v>117</v>
      </c>
      <c r="J45" s="2">
        <f>F49*F19/(B9*1000)/(J44^2)</f>
        <v>229.94392045174635</v>
      </c>
      <c r="K45" s="2" t="s">
        <v>55</v>
      </c>
      <c r="M45" s="12" t="s">
        <v>123</v>
      </c>
      <c r="N45" s="12">
        <f>2*SQRT(N42*B46/2)</f>
        <v>6914.1115107081414</v>
      </c>
      <c r="O45" s="12" t="s">
        <v>126</v>
      </c>
      <c r="P45" s="5"/>
      <c r="Q45" s="5"/>
      <c r="R45" s="9"/>
      <c r="S45" s="5"/>
      <c r="T45" s="24"/>
      <c r="U45" s="29"/>
      <c r="V45" s="10"/>
      <c r="W45" s="4"/>
      <c r="X45" s="4"/>
      <c r="Y45" s="4"/>
      <c r="Z45" s="24"/>
      <c r="AA45" s="24"/>
      <c r="AB45" s="23"/>
      <c r="AC45" s="23"/>
      <c r="AD45" s="7"/>
      <c r="AE45" s="7"/>
      <c r="AF45" s="7"/>
      <c r="AG45" s="7"/>
      <c r="AH45" s="7"/>
    </row>
    <row r="46" spans="1:34" ht="14.25" customHeight="1">
      <c r="A46" s="2" t="s">
        <v>82</v>
      </c>
      <c r="B46" s="2">
        <f>B40-B43</f>
        <v>471.5</v>
      </c>
      <c r="C46" s="11" t="s">
        <v>15</v>
      </c>
      <c r="M46" s="12" t="s">
        <v>124</v>
      </c>
      <c r="N46" s="12">
        <f>2*SQRT(N43*B46)</f>
        <v>5507.0549171253524</v>
      </c>
      <c r="O46" s="12" t="s">
        <v>126</v>
      </c>
      <c r="P46" s="5"/>
      <c r="Q46" s="5"/>
      <c r="R46" s="9"/>
      <c r="S46" s="5"/>
      <c r="T46" s="24"/>
      <c r="U46" s="29"/>
      <c r="V46" s="10"/>
      <c r="W46" s="4"/>
      <c r="X46" s="4"/>
      <c r="Y46" s="4"/>
      <c r="Z46" s="24"/>
      <c r="AA46" s="24"/>
      <c r="AB46" s="23"/>
      <c r="AC46" s="23"/>
      <c r="AD46" s="7"/>
      <c r="AE46" s="7"/>
      <c r="AF46" s="7"/>
      <c r="AG46" s="7"/>
      <c r="AH46" s="7"/>
    </row>
    <row r="47" spans="1:34" ht="15">
      <c r="A47" s="2" t="s">
        <v>83</v>
      </c>
      <c r="B47" s="2">
        <f>B41-B44</f>
        <v>506</v>
      </c>
      <c r="C47" s="11" t="s">
        <v>15</v>
      </c>
      <c r="E47" s="20" t="s">
        <v>72</v>
      </c>
      <c r="F47" s="20"/>
      <c r="G47" s="20"/>
      <c r="I47" s="2" t="s">
        <v>120</v>
      </c>
      <c r="J47" s="12">
        <f>F25/(J40^2)</f>
        <v>19.999999999999996</v>
      </c>
      <c r="K47" s="2" t="s">
        <v>2</v>
      </c>
      <c r="M47" s="2" t="s">
        <v>128</v>
      </c>
      <c r="N47" s="12">
        <f>2*SQRT(N44*B47)</f>
        <v>5784.4920412195252</v>
      </c>
      <c r="O47" s="2" t="s">
        <v>126</v>
      </c>
      <c r="P47" s="5"/>
      <c r="Q47" s="5"/>
      <c r="R47" s="9"/>
      <c r="S47" s="5"/>
      <c r="T47" s="24"/>
      <c r="U47" s="29"/>
      <c r="V47" s="10"/>
      <c r="W47" s="4"/>
      <c r="X47" s="4"/>
      <c r="Y47" s="4"/>
      <c r="Z47" s="24"/>
      <c r="AA47" s="24"/>
      <c r="AB47" s="23"/>
      <c r="AC47" s="23"/>
      <c r="AD47" s="7"/>
      <c r="AE47" s="7"/>
      <c r="AF47" s="7"/>
      <c r="AG47" s="7"/>
      <c r="AH47" s="7"/>
    </row>
    <row r="48" spans="1:34" ht="14.25" customHeight="1">
      <c r="E48" s="16" t="s">
        <v>135</v>
      </c>
      <c r="F48" s="16"/>
      <c r="G48" s="16"/>
      <c r="I48" s="2" t="s">
        <v>115</v>
      </c>
      <c r="J48" s="2">
        <f>SQRT(J47/B14)</f>
        <v>1.4142135623730949</v>
      </c>
      <c r="K48" s="2" t="s">
        <v>40</v>
      </c>
      <c r="P48" s="5"/>
      <c r="Q48" s="5"/>
      <c r="R48" s="9"/>
      <c r="S48" s="5"/>
      <c r="T48" s="24"/>
      <c r="U48" s="29"/>
      <c r="V48" s="10"/>
      <c r="W48" s="4"/>
      <c r="X48" s="4"/>
      <c r="Y48" s="4"/>
      <c r="Z48" s="24"/>
      <c r="AA48" s="24"/>
      <c r="AB48" s="23"/>
      <c r="AC48" s="23"/>
      <c r="AD48" s="7"/>
      <c r="AE48" s="7"/>
      <c r="AF48" s="7"/>
      <c r="AG48" s="7"/>
      <c r="AH48" s="7"/>
    </row>
    <row r="49" spans="1:34" ht="15" customHeight="1">
      <c r="E49" s="5" t="s">
        <v>54</v>
      </c>
      <c r="F49" s="5">
        <f>0.5*F16*F17*F18*((B20/3.6)^2)</f>
        <v>11829.912306199169</v>
      </c>
      <c r="G49" s="5" t="s">
        <v>13</v>
      </c>
      <c r="I49" s="2" t="s">
        <v>119</v>
      </c>
      <c r="J49" s="2">
        <f>F49*(1-F19)/B14/(J48^2)</f>
        <v>407.54047894856149</v>
      </c>
      <c r="K49" s="2" t="s">
        <v>55</v>
      </c>
      <c r="M49" s="2" t="s">
        <v>129</v>
      </c>
      <c r="N49" s="2">
        <f>J53+F11</f>
        <v>360.42777243589745</v>
      </c>
      <c r="O49" s="2" t="s">
        <v>55</v>
      </c>
      <c r="P49" s="5"/>
      <c r="Q49" s="5"/>
      <c r="R49" s="5"/>
      <c r="S49" s="5"/>
      <c r="T49" s="10"/>
      <c r="U49" s="10"/>
      <c r="V49" s="10"/>
      <c r="W49" s="4"/>
      <c r="X49" s="4"/>
      <c r="Y49" s="4"/>
      <c r="Z49" s="24"/>
      <c r="AA49" s="24"/>
      <c r="AB49" s="23"/>
      <c r="AC49" s="23"/>
      <c r="AD49" s="7"/>
      <c r="AE49" s="7"/>
      <c r="AF49" s="7"/>
      <c r="AG49" s="7"/>
      <c r="AH49" s="7"/>
    </row>
    <row r="50" spans="1:34" ht="14.25" customHeight="1">
      <c r="E50" s="5" t="s">
        <v>73</v>
      </c>
      <c r="F50" s="5">
        <f>B4/B7*B5*B19</f>
        <v>426.58119658119659</v>
      </c>
      <c r="G50" s="5" t="s">
        <v>15</v>
      </c>
      <c r="M50" s="2" t="s">
        <v>130</v>
      </c>
      <c r="N50" s="2">
        <f>J11</f>
        <v>341.9</v>
      </c>
      <c r="O50" s="2" t="s">
        <v>55</v>
      </c>
      <c r="P50" s="5"/>
      <c r="Q50" s="5"/>
      <c r="R50" s="5"/>
      <c r="S50" s="5"/>
      <c r="T50" s="24"/>
      <c r="U50" s="29"/>
      <c r="V50" s="10"/>
      <c r="W50" s="4"/>
      <c r="X50" s="4"/>
      <c r="Y50" s="4"/>
      <c r="Z50" s="24"/>
      <c r="AA50" s="24"/>
      <c r="AB50" s="23"/>
      <c r="AC50" s="23"/>
      <c r="AD50" s="7"/>
      <c r="AE50" s="7"/>
      <c r="AF50" s="7"/>
      <c r="AG50" s="7"/>
      <c r="AH50" s="7"/>
    </row>
    <row r="51" spans="1:34" ht="14.25" customHeight="1">
      <c r="E51" s="5" t="s">
        <v>64</v>
      </c>
      <c r="F51" s="5">
        <f>B40+F50+F49*F19/9.81</f>
        <v>1342.117152465798</v>
      </c>
      <c r="G51" s="5" t="s">
        <v>15</v>
      </c>
      <c r="M51" s="2" t="s">
        <v>131</v>
      </c>
      <c r="N51" s="2">
        <f>2*SQRT(N49*1000*B43/2)</f>
        <v>7052.5904883350377</v>
      </c>
      <c r="O51" s="2" t="s">
        <v>126</v>
      </c>
      <c r="P51" s="5"/>
      <c r="Q51" s="5"/>
      <c r="R51" s="5"/>
      <c r="S51" s="5"/>
      <c r="T51" s="24"/>
      <c r="U51" s="29"/>
      <c r="V51" s="10"/>
      <c r="W51" s="4"/>
      <c r="X51" s="4"/>
      <c r="Y51" s="4"/>
      <c r="Z51" s="24"/>
      <c r="AA51" s="24"/>
      <c r="AB51" s="23"/>
      <c r="AC51" s="23"/>
      <c r="AD51" s="7"/>
      <c r="AE51" s="7"/>
      <c r="AF51" s="7"/>
      <c r="AG51" s="7"/>
      <c r="AH51" s="7"/>
    </row>
    <row r="52" spans="1:34" ht="14.25" customHeight="1">
      <c r="E52" s="5" t="s">
        <v>66</v>
      </c>
      <c r="F52" s="5">
        <f>B41-F50+F49*(1-F19)/9.81</f>
        <v>1013.7862426615382</v>
      </c>
      <c r="G52" s="5" t="s">
        <v>15</v>
      </c>
      <c r="I52" s="17" t="s">
        <v>100</v>
      </c>
      <c r="J52" s="18"/>
      <c r="K52" s="18"/>
      <c r="M52" s="2" t="s">
        <v>132</v>
      </c>
      <c r="N52" s="12">
        <f>2*SQRT(N50*1000*B44/2)</f>
        <v>8412.6868478506913</v>
      </c>
      <c r="O52" s="2" t="s">
        <v>126</v>
      </c>
      <c r="P52" s="5"/>
      <c r="Q52" s="5"/>
      <c r="R52" s="5"/>
      <c r="S52" s="5"/>
      <c r="T52" s="24"/>
      <c r="U52" s="29"/>
      <c r="V52" s="10"/>
      <c r="W52" s="4"/>
      <c r="X52" s="4"/>
      <c r="Y52" s="4"/>
      <c r="Z52" s="24"/>
      <c r="AA52" s="24"/>
      <c r="AB52" s="23"/>
      <c r="AC52" s="23"/>
      <c r="AD52" s="7"/>
      <c r="AE52" s="7"/>
      <c r="AF52" s="7"/>
      <c r="AG52" s="7"/>
      <c r="AH52" s="7"/>
    </row>
    <row r="53" spans="1:34" ht="14.25" customHeight="1">
      <c r="I53" s="2" t="s">
        <v>101</v>
      </c>
      <c r="J53" s="2">
        <f>J37*(J36^2)</f>
        <v>61.027772435897454</v>
      </c>
      <c r="K53" s="2" t="s">
        <v>55</v>
      </c>
      <c r="P53" s="5"/>
      <c r="Q53" s="5"/>
      <c r="R53" s="5"/>
      <c r="S53" s="5"/>
      <c r="T53" s="24"/>
      <c r="U53" s="29"/>
      <c r="V53" s="10"/>
      <c r="W53" s="4"/>
      <c r="X53" s="4"/>
      <c r="Y53" s="4"/>
      <c r="Z53" s="24"/>
      <c r="AA53" s="24"/>
      <c r="AB53" s="23"/>
      <c r="AC53" s="23"/>
      <c r="AD53" s="7"/>
      <c r="AE53" s="7"/>
      <c r="AF53" s="7"/>
      <c r="AG53" s="7"/>
      <c r="AH53" s="7"/>
    </row>
    <row r="54" spans="1:34" ht="14.25" customHeight="1">
      <c r="E54" s="16" t="s">
        <v>136</v>
      </c>
      <c r="F54" s="16"/>
      <c r="G54" s="16"/>
      <c r="I54" s="2" t="s">
        <v>102</v>
      </c>
      <c r="J54" s="2">
        <f>J41*(J40^2)</f>
        <v>16.874038461538472</v>
      </c>
      <c r="K54" s="2" t="s">
        <v>55</v>
      </c>
      <c r="P54" s="5"/>
      <c r="Q54" s="5"/>
      <c r="R54" s="5"/>
      <c r="S54" s="5"/>
      <c r="T54" s="24"/>
      <c r="U54" s="29"/>
      <c r="V54" s="10"/>
      <c r="W54" s="4"/>
      <c r="X54" s="4"/>
      <c r="Y54" s="4"/>
      <c r="Z54" s="24"/>
      <c r="AA54" s="24"/>
      <c r="AB54" s="23"/>
      <c r="AC54" s="23"/>
      <c r="AD54" s="7"/>
      <c r="AE54" s="7"/>
      <c r="AF54" s="7"/>
      <c r="AG54" s="7"/>
      <c r="AH54" s="7"/>
    </row>
    <row r="55" spans="1:34" ht="15">
      <c r="A55" s="6"/>
      <c r="B55" s="6"/>
      <c r="C55" s="6"/>
      <c r="E55" s="5" t="s">
        <v>54</v>
      </c>
      <c r="F55" s="5">
        <f>0.5*F16*F17*F18*((B22/3.6^2))</f>
        <v>13.274042833333331</v>
      </c>
      <c r="G55" s="5" t="s">
        <v>13</v>
      </c>
      <c r="I55" s="2" t="s">
        <v>103</v>
      </c>
      <c r="J55" s="12">
        <f>(F5^2)*J53/2*PI()/180*10^3</f>
        <v>1458.7164693174934</v>
      </c>
      <c r="K55" s="2" t="s">
        <v>53</v>
      </c>
      <c r="P55" s="5"/>
      <c r="Q55" s="5"/>
      <c r="R55" s="5"/>
      <c r="S55" s="5"/>
      <c r="T55" s="24"/>
      <c r="U55" s="29"/>
      <c r="V55" s="10"/>
      <c r="W55" s="4"/>
      <c r="X55" s="4"/>
      <c r="Y55" s="4"/>
      <c r="Z55" s="24"/>
      <c r="AA55" s="24"/>
      <c r="AB55" s="23"/>
      <c r="AC55" s="23"/>
      <c r="AD55" s="7"/>
      <c r="AE55" s="7"/>
      <c r="AF55" s="7"/>
      <c r="AG55" s="7"/>
      <c r="AH55" s="7"/>
    </row>
    <row r="56" spans="1:34" ht="14.25" customHeight="1">
      <c r="B56" s="1"/>
      <c r="E56" s="5" t="s">
        <v>74</v>
      </c>
      <c r="F56" s="5">
        <f>B4/B7*B5*B21</f>
        <v>206.41025641025641</v>
      </c>
      <c r="G56" s="5" t="s">
        <v>15</v>
      </c>
      <c r="I56" s="12" t="s">
        <v>104</v>
      </c>
      <c r="J56" s="12">
        <f>(J5^2)*J54/2*PI()/180*10^3</f>
        <v>374.61725856538601</v>
      </c>
      <c r="K56" s="12" t="s">
        <v>53</v>
      </c>
      <c r="P56" s="5"/>
      <c r="Q56" s="5"/>
      <c r="R56" s="5"/>
      <c r="S56" s="5"/>
      <c r="T56" s="24"/>
      <c r="U56" s="10"/>
      <c r="V56" s="10"/>
      <c r="W56" s="4"/>
      <c r="X56" s="4"/>
      <c r="Y56" s="4"/>
      <c r="Z56" s="4"/>
      <c r="AA56" s="4"/>
      <c r="AB56" s="23"/>
      <c r="AC56" s="23"/>
      <c r="AD56" s="7"/>
      <c r="AE56" s="7"/>
      <c r="AF56" s="7"/>
      <c r="AG56" s="7"/>
      <c r="AH56" s="7"/>
    </row>
    <row r="57" spans="1:34">
      <c r="E57" s="5" t="s">
        <v>64</v>
      </c>
      <c r="F57" s="5">
        <f>B40-F56+F55*F19/9.81</f>
        <v>334.51056186916935</v>
      </c>
      <c r="G57" s="5" t="s">
        <v>15</v>
      </c>
      <c r="I57" s="2" t="s">
        <v>105</v>
      </c>
      <c r="J57" s="12">
        <f>B35-J55</f>
        <v>18283.908530682504</v>
      </c>
      <c r="K57" s="12" t="s">
        <v>53</v>
      </c>
      <c r="P57" s="5"/>
      <c r="Q57" s="5"/>
      <c r="R57" s="5"/>
      <c r="S57" s="5"/>
      <c r="T57" s="24"/>
      <c r="U57" s="10"/>
      <c r="V57" s="10"/>
      <c r="W57" s="4"/>
      <c r="X57" s="4"/>
      <c r="Y57" s="4"/>
      <c r="Z57" s="4"/>
      <c r="AA57" s="4"/>
      <c r="AB57" s="24"/>
      <c r="AC57" s="24"/>
      <c r="AD57" s="9"/>
      <c r="AE57" s="9"/>
      <c r="AF57" s="9"/>
      <c r="AG57" s="9"/>
      <c r="AH57" s="9"/>
    </row>
    <row r="58" spans="1:34">
      <c r="E58" s="5" t="s">
        <v>66</v>
      </c>
      <c r="F58" s="5">
        <f>B41+F56+F55*(1-F19)/9.81</f>
        <v>816.8425515694986</v>
      </c>
      <c r="G58" s="5" t="s">
        <v>15</v>
      </c>
      <c r="I58" s="2" t="s">
        <v>106</v>
      </c>
      <c r="J58" s="12">
        <f>B36-J56</f>
        <v>19368.007741434609</v>
      </c>
      <c r="K58" s="12" t="s">
        <v>53</v>
      </c>
      <c r="P58" s="5"/>
      <c r="Q58" s="5"/>
      <c r="R58" s="5"/>
      <c r="S58" s="5"/>
      <c r="T58" s="24"/>
      <c r="U58" s="10"/>
      <c r="V58" s="10"/>
      <c r="W58" s="4"/>
      <c r="X58" s="4"/>
      <c r="Y58" s="4"/>
      <c r="Z58" s="4"/>
      <c r="AA58" s="4"/>
      <c r="AB58" s="24"/>
      <c r="AC58" s="24"/>
      <c r="AD58" s="9"/>
      <c r="AE58" s="9"/>
      <c r="AF58" s="9"/>
      <c r="AG58" s="9"/>
      <c r="AH58" s="9"/>
    </row>
    <row r="59" spans="1:34">
      <c r="I59" s="2" t="s">
        <v>107</v>
      </c>
      <c r="J59" s="2">
        <f>J57/(F13^2*1000)</f>
        <v>164.88478145426961</v>
      </c>
      <c r="K59" s="2" t="s">
        <v>53</v>
      </c>
      <c r="P59" s="5"/>
      <c r="Q59" s="5"/>
      <c r="R59" s="5"/>
      <c r="S59" s="5"/>
      <c r="T59" s="24"/>
      <c r="U59" s="10"/>
      <c r="V59" s="10"/>
      <c r="W59" s="4"/>
      <c r="X59" s="4"/>
      <c r="Y59" s="4"/>
      <c r="Z59" s="4"/>
      <c r="AA59" s="4"/>
      <c r="AB59" s="4"/>
      <c r="AC59" s="4"/>
    </row>
    <row r="60" spans="1:34">
      <c r="I60" s="2" t="s">
        <v>108</v>
      </c>
      <c r="J60" s="2">
        <f>J58/(J13^2*1000)</f>
        <v>174.66121744658719</v>
      </c>
      <c r="K60" s="2" t="s">
        <v>53</v>
      </c>
      <c r="P60" s="5"/>
      <c r="Q60" s="5"/>
      <c r="R60" s="5"/>
      <c r="S60" s="5"/>
      <c r="T60" s="24"/>
      <c r="U60" s="10"/>
      <c r="V60" s="10"/>
      <c r="W60" s="4"/>
      <c r="X60" s="4"/>
      <c r="Y60" s="4"/>
      <c r="Z60" s="4"/>
      <c r="AA60" s="4"/>
      <c r="AB60" s="4"/>
      <c r="AC60" s="4"/>
    </row>
    <row r="61" spans="1:34">
      <c r="I61" s="2" t="s">
        <v>107</v>
      </c>
      <c r="J61" s="2">
        <f>J59*PI()/(180*($B$11^2))</f>
        <v>86.879070245389698</v>
      </c>
      <c r="K61" s="2" t="s">
        <v>55</v>
      </c>
      <c r="P61" s="5"/>
      <c r="Q61" s="30"/>
      <c r="R61" s="5"/>
      <c r="S61" s="5"/>
      <c r="T61" s="24"/>
      <c r="U61" s="10"/>
      <c r="V61" s="10"/>
      <c r="W61" s="4"/>
      <c r="X61" s="4"/>
      <c r="Y61" s="4"/>
      <c r="Z61" s="4"/>
      <c r="AA61" s="4"/>
      <c r="AB61" s="4"/>
      <c r="AC61" s="4"/>
    </row>
    <row r="62" spans="1:34">
      <c r="H62" s="12"/>
      <c r="I62" s="2" t="s">
        <v>108</v>
      </c>
      <c r="J62" s="12">
        <f>J60*PI()/(180*($B$11^2))</f>
        <v>92.030350198789691</v>
      </c>
      <c r="K62" s="2" t="s">
        <v>55</v>
      </c>
      <c r="P62" s="5"/>
      <c r="Q62" s="5"/>
      <c r="R62" s="5"/>
      <c r="S62" s="5"/>
      <c r="T62" s="10"/>
      <c r="U62" s="10"/>
      <c r="V62" s="10"/>
      <c r="W62" s="4"/>
      <c r="X62" s="4"/>
      <c r="Y62" s="4"/>
      <c r="Z62" s="4"/>
      <c r="AA62" s="4"/>
      <c r="AB62" s="4"/>
      <c r="AC62" s="4"/>
    </row>
    <row r="63" spans="1:34" ht="15" customHeight="1">
      <c r="E63" s="12"/>
      <c r="F63" s="12"/>
      <c r="G63" s="12"/>
      <c r="P63" s="5"/>
      <c r="Q63" s="5"/>
      <c r="R63" s="5"/>
      <c r="S63" s="5"/>
      <c r="T63" s="10"/>
      <c r="U63" s="10"/>
      <c r="V63" s="10"/>
      <c r="W63" s="4"/>
      <c r="X63" s="4"/>
      <c r="Y63" s="4"/>
      <c r="Z63" s="4"/>
      <c r="AA63" s="4"/>
      <c r="AB63" s="4"/>
      <c r="AC63" s="4"/>
    </row>
    <row r="64" spans="1:34">
      <c r="P64" s="5"/>
      <c r="Q64" s="5"/>
      <c r="R64" s="5"/>
      <c r="S64" s="5"/>
      <c r="T64" s="10"/>
      <c r="U64" s="24"/>
      <c r="V64" s="24"/>
      <c r="W64" s="25"/>
      <c r="X64" s="25"/>
      <c r="Y64" s="25"/>
      <c r="Z64" s="25"/>
      <c r="AA64" s="25"/>
      <c r="AB64" s="25"/>
      <c r="AC64" s="25"/>
    </row>
    <row r="65" spans="9:29">
      <c r="P65" s="5"/>
      <c r="Q65" s="5"/>
      <c r="R65" s="5"/>
      <c r="S65" s="5"/>
      <c r="T65" s="10"/>
      <c r="U65" s="10"/>
      <c r="V65" s="10"/>
      <c r="W65" s="4"/>
      <c r="X65" s="4"/>
      <c r="Y65" s="4"/>
      <c r="Z65" s="4"/>
      <c r="AA65" s="4"/>
      <c r="AB65" s="4"/>
      <c r="AC65" s="4"/>
    </row>
    <row r="66" spans="9:29">
      <c r="P66" s="5"/>
      <c r="Q66" s="5"/>
      <c r="R66" s="5"/>
      <c r="S66" s="5"/>
      <c r="T66" s="10"/>
      <c r="U66" s="10"/>
      <c r="V66" s="10"/>
      <c r="W66" s="4"/>
      <c r="X66" s="4"/>
      <c r="Y66" s="4"/>
      <c r="Z66" s="4"/>
      <c r="AA66" s="4"/>
      <c r="AB66" s="4"/>
      <c r="AC66" s="4"/>
    </row>
    <row r="67" spans="9:29">
      <c r="P67" s="5"/>
      <c r="Q67" s="5"/>
      <c r="R67" s="5"/>
      <c r="S67" s="5"/>
      <c r="T67" s="10"/>
      <c r="U67" s="10"/>
      <c r="V67" s="10"/>
      <c r="W67" s="4"/>
      <c r="X67" s="4"/>
      <c r="Y67" s="4"/>
      <c r="Z67" s="4"/>
      <c r="AA67" s="4"/>
      <c r="AB67" s="4"/>
      <c r="AC67" s="4"/>
    </row>
    <row r="68" spans="9:29">
      <c r="T68" s="4"/>
      <c r="U68" s="4"/>
      <c r="V68" s="4"/>
      <c r="W68" s="4"/>
      <c r="X68" s="4"/>
      <c r="Y68" s="4"/>
      <c r="Z68" s="4"/>
      <c r="AA68" s="4"/>
      <c r="AB68" s="4"/>
      <c r="AC68" s="4"/>
    </row>
    <row r="69" spans="9:29">
      <c r="P69" s="10"/>
      <c r="Q69" s="10"/>
      <c r="R69" s="10"/>
      <c r="S69" s="10"/>
      <c r="T69" s="10"/>
      <c r="U69" s="10"/>
      <c r="V69" s="10"/>
      <c r="W69" s="10"/>
      <c r="X69" s="10"/>
      <c r="Y69" s="10"/>
      <c r="Z69" s="10"/>
      <c r="AA69" s="4"/>
      <c r="AB69" s="4"/>
      <c r="AC69" s="4"/>
    </row>
    <row r="70" spans="9:29">
      <c r="I70" s="10"/>
      <c r="J70" s="10"/>
      <c r="K70" s="10"/>
      <c r="L70" s="10"/>
      <c r="M70" s="10"/>
      <c r="N70" s="10"/>
      <c r="O70" s="10"/>
      <c r="P70" s="10"/>
      <c r="Q70" s="10"/>
      <c r="R70" s="10"/>
      <c r="S70" s="26"/>
      <c r="T70" s="10"/>
      <c r="U70" s="10"/>
      <c r="V70" s="10"/>
      <c r="W70" s="10"/>
      <c r="X70" s="10"/>
      <c r="Y70" s="10"/>
      <c r="Z70" s="10"/>
      <c r="AA70" s="4"/>
      <c r="AB70" s="4"/>
      <c r="AC70" s="4"/>
    </row>
    <row r="71" spans="9:29">
      <c r="I71" s="10"/>
      <c r="J71" s="10"/>
      <c r="K71" s="10"/>
      <c r="L71" s="10"/>
      <c r="M71" s="10"/>
      <c r="N71" s="10"/>
      <c r="O71" s="10"/>
      <c r="P71" s="10"/>
      <c r="Q71" s="10"/>
      <c r="R71" s="10"/>
      <c r="S71" s="26"/>
      <c r="T71" s="10"/>
      <c r="U71" s="10"/>
      <c r="V71" s="10"/>
      <c r="W71" s="10"/>
      <c r="X71" s="10"/>
      <c r="Y71" s="10"/>
      <c r="Z71" s="10"/>
      <c r="AA71" s="4"/>
      <c r="AB71" s="4"/>
      <c r="AC71" s="4"/>
    </row>
    <row r="72" spans="9:29">
      <c r="I72" s="10"/>
      <c r="J72" s="10"/>
      <c r="K72" s="10"/>
      <c r="L72" s="10"/>
      <c r="M72" s="10"/>
      <c r="N72" s="10"/>
      <c r="O72" s="10"/>
      <c r="P72" s="10"/>
      <c r="Q72" s="10"/>
      <c r="R72" s="10"/>
      <c r="S72" s="10"/>
      <c r="T72" s="10"/>
      <c r="U72" s="10"/>
      <c r="V72" s="10"/>
      <c r="W72" s="10"/>
      <c r="X72" s="10"/>
      <c r="Y72" s="10"/>
      <c r="Z72" s="10"/>
      <c r="AA72" s="4"/>
      <c r="AB72" s="4"/>
      <c r="AC72" s="4"/>
    </row>
    <row r="73" spans="9:29">
      <c r="I73" s="10"/>
      <c r="J73" s="10"/>
      <c r="K73" s="10"/>
      <c r="L73" s="10"/>
      <c r="M73" s="10"/>
      <c r="N73" s="10"/>
      <c r="O73" s="10"/>
      <c r="P73" s="10"/>
      <c r="Q73" s="10"/>
      <c r="R73" s="10"/>
      <c r="S73" s="10"/>
      <c r="T73" s="10"/>
      <c r="U73" s="10"/>
      <c r="V73" s="10"/>
      <c r="W73" s="10"/>
      <c r="X73" s="10"/>
      <c r="Y73" s="10"/>
      <c r="Z73" s="10"/>
      <c r="AA73" s="4"/>
      <c r="AB73" s="4"/>
      <c r="AC73" s="4"/>
    </row>
    <row r="74" spans="9:29">
      <c r="I74" s="10"/>
      <c r="J74" s="10"/>
      <c r="K74" s="10"/>
      <c r="L74" s="10"/>
      <c r="M74" s="10"/>
      <c r="N74" s="10"/>
      <c r="O74" s="10"/>
      <c r="P74" s="10"/>
      <c r="Q74" s="10"/>
      <c r="R74" s="10"/>
      <c r="S74" s="10"/>
      <c r="T74" s="10"/>
      <c r="U74" s="10"/>
      <c r="V74" s="10"/>
      <c r="W74" s="10"/>
      <c r="X74" s="10"/>
      <c r="Y74" s="10"/>
      <c r="Z74" s="10"/>
      <c r="AA74" s="4"/>
      <c r="AB74" s="4"/>
      <c r="AC74" s="4"/>
    </row>
    <row r="75" spans="9:29">
      <c r="I75" s="10"/>
      <c r="J75" s="10"/>
      <c r="K75" s="10"/>
      <c r="L75" s="10"/>
      <c r="M75" s="10"/>
      <c r="N75" s="10"/>
      <c r="O75" s="10"/>
      <c r="P75" s="10"/>
      <c r="Q75" s="10"/>
      <c r="R75" s="10"/>
      <c r="S75" s="10"/>
      <c r="T75" s="10"/>
      <c r="U75" s="10"/>
      <c r="V75" s="10"/>
      <c r="W75" s="10"/>
      <c r="X75" s="10"/>
      <c r="Y75" s="10"/>
      <c r="Z75" s="10"/>
      <c r="AA75" s="4"/>
      <c r="AB75" s="4"/>
      <c r="AC75" s="4"/>
    </row>
    <row r="76" spans="9:29">
      <c r="I76" s="10"/>
      <c r="J76" s="10"/>
      <c r="K76" s="10"/>
      <c r="L76" s="10"/>
      <c r="M76" s="10"/>
      <c r="N76" s="24"/>
      <c r="O76" s="24"/>
      <c r="P76" s="24"/>
      <c r="Q76" s="24"/>
      <c r="R76" s="24"/>
      <c r="S76" s="24"/>
      <c r="T76" s="24"/>
      <c r="U76" s="24"/>
      <c r="V76" s="24"/>
      <c r="W76" s="24"/>
      <c r="X76" s="24"/>
      <c r="Y76" s="24"/>
      <c r="Z76" s="24"/>
      <c r="AA76" s="25"/>
      <c r="AB76" s="25"/>
      <c r="AC76" s="25"/>
    </row>
    <row r="77" spans="9:29">
      <c r="I77" s="10"/>
      <c r="J77" s="10"/>
      <c r="K77" s="10"/>
      <c r="L77" s="10"/>
      <c r="M77" s="10"/>
      <c r="N77" s="10"/>
      <c r="O77" s="10"/>
      <c r="P77" s="10"/>
      <c r="Q77" s="10"/>
      <c r="R77" s="10"/>
      <c r="S77" s="10"/>
      <c r="T77" s="10"/>
      <c r="U77" s="10"/>
      <c r="V77" s="10"/>
      <c r="W77" s="10"/>
      <c r="X77" s="10"/>
      <c r="Y77" s="10"/>
      <c r="Z77" s="10"/>
      <c r="AA77" s="4"/>
      <c r="AB77" s="4"/>
      <c r="AC77" s="4"/>
    </row>
    <row r="78" spans="9:29"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26"/>
      <c r="T78" s="10"/>
      <c r="U78" s="10"/>
      <c r="V78" s="10"/>
      <c r="W78" s="10"/>
      <c r="X78" s="10"/>
      <c r="Y78" s="10"/>
      <c r="Z78" s="10"/>
      <c r="AA78" s="4"/>
      <c r="AB78" s="4"/>
      <c r="AC78" s="4"/>
    </row>
    <row r="79" spans="9:29">
      <c r="I79" s="10"/>
      <c r="J79" s="10"/>
      <c r="K79" s="10"/>
      <c r="L79" s="10"/>
      <c r="M79" s="10"/>
      <c r="N79" s="10"/>
      <c r="O79" s="10"/>
      <c r="P79" s="10"/>
      <c r="Q79" s="10"/>
      <c r="R79" s="10"/>
      <c r="S79" s="26"/>
      <c r="T79" s="10"/>
      <c r="U79" s="10"/>
      <c r="V79" s="10"/>
      <c r="W79" s="10"/>
      <c r="X79" s="10"/>
      <c r="Y79" s="10"/>
      <c r="Z79" s="10"/>
      <c r="AA79" s="4"/>
      <c r="AB79" s="4"/>
      <c r="AC79" s="4"/>
    </row>
    <row r="80" spans="9:29">
      <c r="I80" s="10"/>
      <c r="J80" s="10"/>
      <c r="K80" s="10"/>
      <c r="L80" s="10"/>
      <c r="M80" s="10"/>
      <c r="N80" s="10"/>
      <c r="O80" s="10"/>
      <c r="P80" s="10"/>
      <c r="Q80" s="10"/>
      <c r="R80" s="10"/>
      <c r="S80" s="26"/>
      <c r="T80" s="10"/>
      <c r="U80" s="10"/>
      <c r="V80" s="10"/>
      <c r="W80" s="10"/>
      <c r="X80" s="10"/>
      <c r="Y80" s="10"/>
      <c r="Z80" s="10"/>
      <c r="AA80" s="4"/>
      <c r="AB80" s="4"/>
      <c r="AC80" s="4"/>
    </row>
    <row r="81" spans="9:29">
      <c r="I81" s="10"/>
      <c r="J81" s="10"/>
      <c r="K81" s="10"/>
      <c r="L81" s="10"/>
      <c r="M81" s="10"/>
      <c r="N81" s="10"/>
      <c r="O81" s="10"/>
      <c r="P81" s="10"/>
      <c r="Q81" s="10"/>
      <c r="R81" s="10"/>
      <c r="S81" s="26"/>
      <c r="T81" s="10"/>
      <c r="U81" s="10"/>
      <c r="V81" s="10"/>
      <c r="W81" s="10"/>
      <c r="X81" s="10"/>
      <c r="Y81" s="10"/>
      <c r="Z81" s="10"/>
      <c r="AA81" s="4"/>
      <c r="AB81" s="4"/>
      <c r="AC81" s="4"/>
    </row>
    <row r="82" spans="9:29">
      <c r="I82" s="10"/>
      <c r="J82" s="10"/>
      <c r="K82" s="10"/>
      <c r="L82" s="10"/>
      <c r="M82" s="10"/>
      <c r="N82" s="10"/>
      <c r="O82" s="10"/>
      <c r="P82" s="10"/>
      <c r="Q82" s="10"/>
      <c r="R82" s="10"/>
      <c r="S82" s="26"/>
      <c r="T82" s="10"/>
      <c r="U82" s="10"/>
      <c r="V82" s="10"/>
      <c r="W82" s="10"/>
      <c r="X82" s="10"/>
      <c r="Y82" s="10"/>
      <c r="Z82" s="10"/>
      <c r="AA82" s="4"/>
      <c r="AB82" s="4"/>
      <c r="AC82" s="4"/>
    </row>
    <row r="83" spans="9:29"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26"/>
      <c r="T83" s="10"/>
      <c r="U83" s="10"/>
      <c r="V83" s="10"/>
      <c r="W83" s="10"/>
      <c r="X83" s="10"/>
      <c r="Y83" s="10"/>
      <c r="Z83" s="10"/>
      <c r="AA83" s="4"/>
      <c r="AB83" s="4"/>
      <c r="AC83" s="4"/>
    </row>
    <row r="84" spans="9:29"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4"/>
      <c r="AB84" s="4"/>
      <c r="AC84" s="4"/>
    </row>
    <row r="85" spans="9:29"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4"/>
      <c r="AB85" s="4"/>
      <c r="AC85" s="4"/>
    </row>
    <row r="86" spans="9:29"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4"/>
      <c r="AB86" s="4"/>
      <c r="AC86" s="4"/>
    </row>
    <row r="87" spans="9:29" ht="14.25" customHeight="1">
      <c r="I87" s="10"/>
      <c r="J87" s="10"/>
      <c r="K87" s="10"/>
      <c r="L87" s="10"/>
      <c r="M87" s="10"/>
      <c r="N87" s="27"/>
      <c r="O87" s="10"/>
      <c r="P87" s="10"/>
      <c r="Q87" s="10"/>
      <c r="R87" s="10"/>
      <c r="S87" s="10"/>
      <c r="T87" s="27"/>
      <c r="U87" s="10"/>
      <c r="V87" s="10"/>
      <c r="W87" s="10"/>
      <c r="X87" s="10"/>
      <c r="Y87" s="10"/>
      <c r="Z87" s="10"/>
      <c r="AA87" s="4"/>
      <c r="AB87" s="4"/>
      <c r="AC87" s="4"/>
    </row>
    <row r="88" spans="9:29" ht="14.25" customHeight="1">
      <c r="I88" s="10"/>
      <c r="J88" s="10"/>
      <c r="K88" s="10"/>
      <c r="L88" s="10"/>
      <c r="M88" s="10"/>
      <c r="N88" s="24"/>
      <c r="O88" s="10"/>
      <c r="P88" s="10"/>
      <c r="Q88" s="10"/>
      <c r="R88" s="10"/>
      <c r="S88" s="10"/>
      <c r="T88" s="27"/>
      <c r="U88" s="10"/>
      <c r="V88" s="10"/>
      <c r="W88" s="10"/>
      <c r="X88" s="10"/>
      <c r="Y88" s="10"/>
      <c r="Z88" s="10"/>
      <c r="AA88" s="4"/>
      <c r="AB88" s="4"/>
      <c r="AC88" s="4"/>
    </row>
    <row r="89" spans="9:29" ht="14.25" customHeight="1">
      <c r="I89" s="10"/>
      <c r="J89" s="10"/>
      <c r="K89" s="10"/>
      <c r="L89" s="10"/>
      <c r="M89" s="10"/>
      <c r="N89" s="24"/>
      <c r="O89" s="10"/>
      <c r="P89" s="10"/>
      <c r="Q89" s="10"/>
      <c r="R89" s="10"/>
      <c r="S89" s="10"/>
      <c r="T89" s="27"/>
      <c r="U89" s="10"/>
      <c r="V89" s="10"/>
      <c r="W89" s="10"/>
      <c r="X89" s="10"/>
      <c r="Y89" s="10"/>
      <c r="Z89" s="10"/>
      <c r="AA89" s="4"/>
      <c r="AB89" s="4"/>
      <c r="AC89" s="4"/>
    </row>
    <row r="90" spans="9:29" ht="14.25" customHeight="1">
      <c r="I90" s="10"/>
      <c r="J90" s="10"/>
      <c r="K90" s="10"/>
      <c r="L90" s="10"/>
      <c r="M90" s="10"/>
      <c r="N90" s="24"/>
      <c r="O90" s="10"/>
      <c r="P90" s="10"/>
      <c r="Q90" s="10"/>
      <c r="R90" s="10"/>
      <c r="S90" s="10"/>
      <c r="T90" s="27"/>
      <c r="U90" s="10"/>
      <c r="V90" s="10"/>
      <c r="W90" s="10"/>
      <c r="X90" s="10"/>
      <c r="Y90" s="10"/>
      <c r="Z90" s="10"/>
      <c r="AA90" s="4"/>
      <c r="AB90" s="4"/>
      <c r="AC90" s="4"/>
    </row>
    <row r="91" spans="9:29" ht="14.25" customHeight="1">
      <c r="I91" s="10"/>
      <c r="J91" s="10"/>
      <c r="K91" s="10"/>
      <c r="L91" s="10"/>
      <c r="M91" s="10"/>
      <c r="N91" s="24"/>
      <c r="O91" s="10"/>
      <c r="P91" s="10"/>
      <c r="Q91" s="10"/>
      <c r="R91" s="10"/>
      <c r="S91" s="10"/>
      <c r="T91" s="27"/>
      <c r="U91" s="10"/>
      <c r="V91" s="10"/>
      <c r="W91" s="10"/>
      <c r="X91" s="10"/>
      <c r="Y91" s="10"/>
      <c r="Z91" s="10"/>
      <c r="AA91" s="4"/>
      <c r="AB91" s="4"/>
      <c r="AC91" s="4"/>
    </row>
    <row r="92" spans="9:29" ht="14.25" customHeight="1">
      <c r="I92" s="10"/>
      <c r="J92" s="10"/>
      <c r="K92" s="10"/>
      <c r="L92" s="10"/>
      <c r="M92" s="10"/>
      <c r="N92" s="24"/>
      <c r="O92" s="10"/>
      <c r="P92" s="10"/>
      <c r="Q92" s="10"/>
      <c r="R92" s="10"/>
      <c r="S92" s="10"/>
      <c r="T92" s="27"/>
      <c r="U92" s="10"/>
      <c r="V92" s="10"/>
      <c r="W92" s="10"/>
      <c r="X92" s="10"/>
      <c r="Y92" s="10"/>
      <c r="Z92" s="10"/>
      <c r="AA92" s="4"/>
      <c r="AB92" s="4"/>
      <c r="AC92" s="4"/>
    </row>
    <row r="93" spans="9:29"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4"/>
      <c r="AB93" s="4"/>
      <c r="AC93" s="4"/>
    </row>
    <row r="94" spans="9:29"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4"/>
      <c r="AB94" s="4"/>
      <c r="AC94" s="4"/>
    </row>
    <row r="95" spans="9:29"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</row>
    <row r="96" spans="9:29"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4"/>
    </row>
    <row r="97" spans="13:29"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</row>
    <row r="98" spans="13:29"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</row>
    <row r="99" spans="13:29"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</row>
    <row r="100" spans="13:29"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</row>
    <row r="101" spans="13:29"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  <c r="AA101" s="4"/>
      <c r="AB101" s="4"/>
      <c r="AC101" s="4"/>
    </row>
  </sheetData>
  <mergeCells count="15">
    <mergeCell ref="I34:K34"/>
    <mergeCell ref="E54:G54"/>
    <mergeCell ref="E48:G48"/>
    <mergeCell ref="A34:C34"/>
    <mergeCell ref="E47:G47"/>
    <mergeCell ref="E34:G34"/>
    <mergeCell ref="A1:W1"/>
    <mergeCell ref="A32:W32"/>
    <mergeCell ref="E15:G15"/>
    <mergeCell ref="A16:C16"/>
    <mergeCell ref="A3:C3"/>
    <mergeCell ref="E3:G3"/>
    <mergeCell ref="I3:K3"/>
    <mergeCell ref="I52:K52"/>
    <mergeCell ref="I43:K43"/>
  </mergeCells>
  <dataValidations count="2">
    <dataValidation allowBlank="1" showInputMessage="1" showErrorMessage="1" sqref="P43:R45" xr:uid="{19DB6769-2B88-4731-9E0F-D57429E22ADF}"/>
    <dataValidation allowBlank="1" showInputMessage="1" showErrorMessage="1" promptTitle="Check Tyre Data" prompt=" " sqref="T35:V40" xr:uid="{8A41BE96-237C-4D3D-90CC-133B9C22FCCE}"/>
  </dataValidation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009dac74-d959-44db-9513-753fe2ad6694">
      <Terms xmlns="http://schemas.microsoft.com/office/infopath/2007/PartnerControls"/>
    </lcf76f155ced4ddcb4097134ff3c332f>
    <TaxCatchAll xmlns="d3668f51-38e9-48c9-8762-46f9a49a93fd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D5332583A89B0408DF0ED411CB1982B" ma:contentTypeVersion="12" ma:contentTypeDescription="Create a new document." ma:contentTypeScope="" ma:versionID="065cbcaa8a7a86d6456b7f10ff14a2d6">
  <xsd:schema xmlns:xsd="http://www.w3.org/2001/XMLSchema" xmlns:xs="http://www.w3.org/2001/XMLSchema" xmlns:p="http://schemas.microsoft.com/office/2006/metadata/properties" xmlns:ns2="009dac74-d959-44db-9513-753fe2ad6694" xmlns:ns3="d3668f51-38e9-48c9-8762-46f9a49a93fd" targetNamespace="http://schemas.microsoft.com/office/2006/metadata/properties" ma:root="true" ma:fieldsID="c974431f99d67e17a9df1bbb326949da" ns2:_="" ns3:_="">
    <xsd:import namespace="009dac74-d959-44db-9513-753fe2ad6694"/>
    <xsd:import namespace="d3668f51-38e9-48c9-8762-46f9a49a93f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09dac74-d959-44db-9513-753fe2ad669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4ed3f799-2585-429a-ae92-38aec2d16af3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3668f51-38e9-48c9-8762-46f9a49a93fd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b356dff3-3b87-45ef-8a70-929ead700ce2}" ma:internalName="TaxCatchAll" ma:showField="CatchAllData" ma:web="d3668f51-38e9-48c9-8762-46f9a49a93f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32934162-4C48-49E3-9DDE-A0045FE376B7}">
  <ds:schemaRefs>
    <ds:schemaRef ds:uri="http://schemas.microsoft.com/office/2006/metadata/properties"/>
    <ds:schemaRef ds:uri="http://schemas.microsoft.com/office/infopath/2007/PartnerControls"/>
    <ds:schemaRef ds:uri="009dac74-d959-44db-9513-753fe2ad6694"/>
    <ds:schemaRef ds:uri="d3668f51-38e9-48c9-8762-46f9a49a93fd"/>
  </ds:schemaRefs>
</ds:datastoreItem>
</file>

<file path=customXml/itemProps2.xml><?xml version="1.0" encoding="utf-8"?>
<ds:datastoreItem xmlns:ds="http://schemas.openxmlformats.org/officeDocument/2006/customXml" ds:itemID="{20F9DA65-CF54-4240-ABCA-9E3913670F6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09dac74-d959-44db-9513-753fe2ad6694"/>
    <ds:schemaRef ds:uri="d3668f51-38e9-48c9-8762-46f9a49a93f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2FD35D1D-0E09-460A-9CE6-E4F900B699A8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Calcs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José Vale</dc:creator>
  <cp:keywords/>
  <dc:description/>
  <cp:lastModifiedBy>José Vale</cp:lastModifiedBy>
  <cp:revision/>
  <dcterms:created xsi:type="dcterms:W3CDTF">2025-03-13T11:16:55Z</dcterms:created>
  <dcterms:modified xsi:type="dcterms:W3CDTF">2025-05-30T16:12:56Z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0x010100DD5332583A89B0408DF0ED411CB1982B</vt:lpwstr>
  </property>
  <property fmtid="{D5CDD505-2E9C-101B-9397-08002B2CF9AE}" pid="3" name="MediaServiceImageTags">
    <vt:lpwstr/>
  </property>
</Properties>
</file>