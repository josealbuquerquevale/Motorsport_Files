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:\My Drive\Racing\Tools\Excel Resources\"/>
    </mc:Choice>
  </mc:AlternateContent>
  <xr:revisionPtr revIDLastSave="0" documentId="13_ncr:1_{D0338FE1-DB94-4721-8ADD-46C19A15E9D3}" xr6:coauthVersionLast="47" xr6:coauthVersionMax="47" xr10:uidLastSave="{00000000-0000-0000-0000-000000000000}"/>
  <bookViews>
    <workbookView xWindow="-120" yWindow="-120" windowWidth="29040" windowHeight="15720" xr2:uid="{7234FB57-89C4-4E41-A6FC-FA1EF9DCF19A}"/>
  </bookViews>
  <sheets>
    <sheet name="#XX" sheetId="11" r:id="rId1"/>
    <sheet name="Track Inf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2" i="11" l="1" a="1"/>
  <c r="V12" i="11" s="1"/>
  <c r="U12" i="11" a="1"/>
  <c r="U12" i="11" s="1"/>
  <c r="S12" i="11" a="1"/>
  <c r="S12" i="11" s="1"/>
  <c r="R12" i="11" a="1"/>
  <c r="R12" i="11" s="1"/>
  <c r="P12" i="11" a="1"/>
  <c r="P12" i="11" s="1"/>
  <c r="O12" i="11" a="1"/>
  <c r="O12" i="11" s="1"/>
  <c r="M12" i="11" a="1"/>
  <c r="M12" i="11" s="1"/>
  <c r="L12" i="11" a="1"/>
  <c r="L12" i="11" s="1"/>
  <c r="J12" i="11" a="1"/>
  <c r="J12" i="11" s="1"/>
  <c r="I12" i="11" a="1"/>
  <c r="I12" i="11" s="1"/>
  <c r="G12" i="11" a="1"/>
  <c r="G12" i="11" s="1"/>
  <c r="F12" i="11" a="1"/>
  <c r="F12" i="11" s="1"/>
  <c r="D12" i="11" a="1"/>
  <c r="D12" i="11" s="1"/>
  <c r="C12" i="11" a="1"/>
  <c r="C12" i="11" s="1"/>
  <c r="V11" i="11" a="1"/>
  <c r="V11" i="11" s="1"/>
  <c r="U11" i="11" a="1"/>
  <c r="U11" i="11" s="1"/>
  <c r="S11" i="11" a="1"/>
  <c r="S11" i="11" s="1"/>
  <c r="R11" i="11" a="1"/>
  <c r="R11" i="11" s="1"/>
  <c r="P11" i="11" a="1"/>
  <c r="P11" i="11" s="1"/>
  <c r="O11" i="11" a="1"/>
  <c r="O11" i="11" s="1"/>
  <c r="M11" i="11" a="1"/>
  <c r="M11" i="11" s="1"/>
  <c r="L11" i="11" a="1"/>
  <c r="L11" i="11" s="1"/>
  <c r="J11" i="11" a="1"/>
  <c r="J11" i="11" s="1"/>
  <c r="I11" i="11" a="1"/>
  <c r="I11" i="11" s="1"/>
  <c r="G11" i="11" a="1"/>
  <c r="G11" i="11" s="1"/>
  <c r="F11" i="11" a="1"/>
  <c r="F11" i="11" s="1"/>
  <c r="D11" i="11" a="1"/>
  <c r="D11" i="11" s="1"/>
  <c r="C11" i="11" a="1"/>
  <c r="C11" i="1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<sst xmlns="http://schemas.openxmlformats.org/spreadsheetml/2006/main" count="96" uniqueCount="50">
  <si>
    <t>km</t>
  </si>
  <si>
    <t>Initial mileage</t>
  </si>
  <si>
    <t>Current mileage</t>
  </si>
  <si>
    <t>S1</t>
  </si>
  <si>
    <t>Set</t>
  </si>
  <si>
    <t>S2</t>
  </si>
  <si>
    <t>S3</t>
  </si>
  <si>
    <t>S4</t>
  </si>
  <si>
    <t>W1</t>
  </si>
  <si>
    <t>W2</t>
  </si>
  <si>
    <t>FP1</t>
  </si>
  <si>
    <t>FP2</t>
  </si>
  <si>
    <t>Q</t>
  </si>
  <si>
    <t>R1</t>
  </si>
  <si>
    <t>R2</t>
  </si>
  <si>
    <t>R3</t>
  </si>
  <si>
    <t>Laps</t>
  </si>
  <si>
    <t>Tyre nr.</t>
  </si>
  <si>
    <t>Tyre</t>
  </si>
  <si>
    <t>S5</t>
  </si>
  <si>
    <t>S1-01</t>
  </si>
  <si>
    <t>S1-02</t>
  </si>
  <si>
    <t>S1-03</t>
  </si>
  <si>
    <t>S1-04</t>
  </si>
  <si>
    <t>S2-01</t>
  </si>
  <si>
    <t>S2-03</t>
  </si>
  <si>
    <t>S2-02</t>
  </si>
  <si>
    <t>S2-04</t>
  </si>
  <si>
    <t>S3-01</t>
  </si>
  <si>
    <t>S3-03</t>
  </si>
  <si>
    <t>S3-02</t>
  </si>
  <si>
    <t>S3-04</t>
  </si>
  <si>
    <t>S4-01</t>
  </si>
  <si>
    <t>S4-03</t>
  </si>
  <si>
    <t>S4-02</t>
  </si>
  <si>
    <t>S4-04</t>
  </si>
  <si>
    <t>S5-01</t>
  </si>
  <si>
    <t>S5-03</t>
  </si>
  <si>
    <t>S5-02</t>
  </si>
  <si>
    <t>S5-04</t>
  </si>
  <si>
    <t>W1-01</t>
  </si>
  <si>
    <t>W1-03</t>
  </si>
  <si>
    <t>W1-02</t>
  </si>
  <si>
    <t>W1-04</t>
  </si>
  <si>
    <t>W2-01</t>
  </si>
  <si>
    <t>W2-03</t>
  </si>
  <si>
    <t>W2-02</t>
  </si>
  <si>
    <t>W2-04</t>
  </si>
  <si>
    <t>Snetterton 300</t>
  </si>
  <si>
    <t>#XX - Driver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</si>
</sst>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778FDD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E49EDD"/>
        <bgColor indexed="64"/>
      </patternFill>
    </fill>
    <fill>
      <patternFill patternType="solid">
        <fgColor rgb="FFF7C7AC"/>
        <bgColor indexed="64"/>
      </patternFill>
    </fill>
    <fill>
      <patternFill patternType="solid">
        <fgColor rgb="FFF1A983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B5E6A2"/>
        <bgColor indexed="64"/>
      </patternFill>
    </fill>
    <fill>
      <patternFill patternType="solid">
        <fgColor rgb="FF8ED97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/>
    <xf numFmtId="0" fontId="1" fillId="7" borderId="0" xfId="0" applyFont="1" applyFill="1"/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0" fontId="0" fillId="0" borderId="0" xfId="0" applyFill="1"/>
    <xf numFmtId="0" fontId="0" fillId="0" borderId="1" xfId="0" applyFill="1" applyBorder="1"/>
    <xf numFmtId="0" fontId="0" fillId="0" borderId="7" xfId="0" applyFill="1" applyBorder="1"/>
    <xf numFmtId="0" fontId="0" fillId="0" borderId="5" xfId="0" applyFill="1" applyBorder="1"/>
    <xf numFmtId="0" fontId="0" fillId="0" borderId="0" xfId="0" applyFill="1" applyAlignment="1">
      <alignment horizontal="center"/>
    </xf>
    <xf numFmtId="0" fontId="0" fillId="0" borderId="2" xfId="0" applyFill="1" applyBorder="1"/>
    <xf numFmtId="0" fontId="0" fillId="0" borderId="5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5" xfId="0" applyFill="1" applyBorder="1" applyAlignment="1">
      <alignment vertical="center"/>
    </xf>
    <xf numFmtId="0" fontId="0" fillId="18" borderId="1" xfId="0" applyFill="1" applyBorder="1"/>
    <xf numFmtId="0" fontId="0" fillId="19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20" borderId="1" xfId="0" applyFill="1" applyBorder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4" borderId="1" xfId="0" applyFill="1" applyBorder="1"/>
    <xf numFmtId="0" fontId="0" fillId="25" borderId="1" xfId="0" applyFill="1" applyBorder="1"/>
    <xf numFmtId="0" fontId="2" fillId="2" borderId="0" xfId="0" applyFont="1" applyFill="1" applyAlignment="1">
      <alignment horizontal="center"/>
    </xf>
    <xf numFmtId="0" fontId="0" fillId="0" borderId="5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78FDD"/>
      <color rgb="FFF9F299"/>
      <color rgb="FFFBC7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13</xdr:row>
      <xdr:rowOff>0</xdr:rowOff>
    </xdr:from>
    <xdr:to>
      <xdr:col>22</xdr:col>
      <xdr:colOff>230181</xdr:colOff>
      <xdr:row>27</xdr:row>
      <xdr:rowOff>45720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F83F53-A8F4-4D68-B2C3-A60008BB9D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98080" y="2095500"/>
          <a:ext cx="1098861" cy="22555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7B2A6-69F6-4B9E-B1F8-1B4E75476D89}">
  <sheetPr codeName="Sheet2"/>
  <dimension ref="A1:V39"/>
  <sheetViews>
    <sheetView tabSelected="1" zoomScaleNormal="100" workbookViewId="0">
      <selection activeCell="H17" sqref="H17"/>
    </sheetView>
  </sheetViews>
  <sheetFormatPr defaultRowHeight="14.25"/>
  <cols>
    <col min="1" max="1" width="13.625" bestFit="1" customWidth="1"/>
    <col min="2" max="2" width="3.625" customWidth="1"/>
    <col min="3" max="4" width="6" bestFit="1" customWidth="1"/>
    <col min="5" max="5" width="3.625" customWidth="1"/>
    <col min="6" max="7" width="5.625" bestFit="1" customWidth="1"/>
    <col min="8" max="8" width="3.625" customWidth="1"/>
    <col min="9" max="10" width="5.625" bestFit="1" customWidth="1"/>
    <col min="11" max="11" width="3.625" customWidth="1"/>
    <col min="12" max="13" width="5.625" bestFit="1" customWidth="1"/>
    <col min="14" max="14" width="3.625" customWidth="1"/>
    <col min="15" max="16" width="5.625" bestFit="1" customWidth="1"/>
    <col min="17" max="17" width="3.625" customWidth="1"/>
    <col min="18" max="19" width="6.375" bestFit="1" customWidth="1"/>
    <col min="20" max="20" width="3.625" customWidth="1"/>
    <col min="21" max="22" width="6.375" bestFit="1" customWidth="1"/>
  </cols>
  <sheetData>
    <row r="1" spans="1:22" ht="18">
      <c r="A1" s="42" t="s">
        <v>49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</row>
    <row r="3" spans="1:22" ht="15" customHeight="1">
      <c r="A3" s="2" t="s">
        <v>4</v>
      </c>
      <c r="B3" s="2"/>
      <c r="C3" s="44" t="s">
        <v>3</v>
      </c>
      <c r="D3" s="44"/>
      <c r="E3" s="2"/>
      <c r="F3" s="44" t="s">
        <v>5</v>
      </c>
      <c r="G3" s="44"/>
      <c r="H3" s="2"/>
      <c r="I3" s="44" t="s">
        <v>6</v>
      </c>
      <c r="J3" s="44"/>
      <c r="K3" s="2"/>
      <c r="L3" s="44" t="s">
        <v>7</v>
      </c>
      <c r="M3" s="44"/>
      <c r="N3" s="2"/>
      <c r="O3" s="44" t="s">
        <v>19</v>
      </c>
      <c r="P3" s="44"/>
      <c r="Q3" s="2"/>
      <c r="R3" s="44" t="s">
        <v>8</v>
      </c>
      <c r="S3" s="44"/>
      <c r="T3" s="2"/>
      <c r="U3" s="44" t="s">
        <v>9</v>
      </c>
      <c r="V3" s="44"/>
    </row>
    <row r="4" spans="1:22" ht="6.6" customHeight="1">
      <c r="A4" s="2"/>
      <c r="B4" s="2"/>
      <c r="C4" s="1"/>
      <c r="D4" s="1"/>
      <c r="E4" s="2"/>
      <c r="F4" s="1"/>
      <c r="G4" s="1"/>
      <c r="H4" s="2"/>
      <c r="I4" s="1"/>
      <c r="J4" s="1"/>
      <c r="K4" s="2"/>
      <c r="L4" s="1"/>
      <c r="M4" s="1"/>
      <c r="N4" s="2"/>
      <c r="O4" s="1"/>
      <c r="P4" s="1"/>
      <c r="Q4" s="2"/>
      <c r="R4" s="1"/>
      <c r="S4" s="1"/>
      <c r="T4" s="2"/>
      <c r="U4" s="1"/>
      <c r="V4" s="1"/>
    </row>
    <row r="5" spans="1:22">
      <c r="A5" s="45" t="s">
        <v>17</v>
      </c>
      <c r="B5" s="2"/>
      <c r="C5" s="13" t="s">
        <v>20</v>
      </c>
      <c r="D5" s="8" t="s">
        <v>21</v>
      </c>
      <c r="E5" s="1"/>
      <c r="F5" s="9" t="s">
        <v>24</v>
      </c>
      <c r="G5" s="14" t="s">
        <v>26</v>
      </c>
      <c r="H5" s="1"/>
      <c r="I5" s="16" t="s">
        <v>28</v>
      </c>
      <c r="J5" s="15" t="s">
        <v>30</v>
      </c>
      <c r="K5" s="1"/>
      <c r="L5" s="10" t="s">
        <v>32</v>
      </c>
      <c r="M5" s="17" t="s">
        <v>34</v>
      </c>
      <c r="N5" s="1"/>
      <c r="O5" s="18" t="s">
        <v>36</v>
      </c>
      <c r="P5" s="19" t="s">
        <v>38</v>
      </c>
      <c r="Q5" s="1"/>
      <c r="R5" s="20" t="s">
        <v>40</v>
      </c>
      <c r="S5" s="11" t="s">
        <v>42</v>
      </c>
      <c r="T5" s="1"/>
      <c r="U5" s="21" t="s">
        <v>44</v>
      </c>
      <c r="V5" s="22" t="s">
        <v>46</v>
      </c>
    </row>
    <row r="6" spans="1:22">
      <c r="A6" s="45"/>
      <c r="B6" s="2"/>
      <c r="C6" s="13" t="s">
        <v>22</v>
      </c>
      <c r="D6" s="8" t="s">
        <v>23</v>
      </c>
      <c r="E6" s="1"/>
      <c r="F6" s="9" t="s">
        <v>25</v>
      </c>
      <c r="G6" s="14" t="s">
        <v>27</v>
      </c>
      <c r="H6" s="1"/>
      <c r="I6" s="16" t="s">
        <v>29</v>
      </c>
      <c r="J6" s="15" t="s">
        <v>31</v>
      </c>
      <c r="K6" s="1"/>
      <c r="L6" s="10" t="s">
        <v>33</v>
      </c>
      <c r="M6" s="17" t="s">
        <v>35</v>
      </c>
      <c r="N6" s="1"/>
      <c r="O6" s="18" t="s">
        <v>37</v>
      </c>
      <c r="P6" s="19" t="s">
        <v>39</v>
      </c>
      <c r="Q6" s="1"/>
      <c r="R6" s="20" t="s">
        <v>41</v>
      </c>
      <c r="S6" s="11" t="s">
        <v>43</v>
      </c>
      <c r="T6" s="1"/>
      <c r="U6" s="21" t="s">
        <v>45</v>
      </c>
      <c r="V6" s="22" t="s">
        <v>47</v>
      </c>
    </row>
    <row r="7" spans="1:22" ht="4.9000000000000004" customHeight="1"/>
    <row r="8" spans="1:22">
      <c r="A8" s="45" t="s">
        <v>1</v>
      </c>
      <c r="C8" s="3">
        <v>40.859000000000002</v>
      </c>
      <c r="D8" s="3">
        <v>70.043999999999997</v>
      </c>
      <c r="F8" s="3">
        <v>0</v>
      </c>
      <c r="G8" s="3">
        <v>0</v>
      </c>
      <c r="I8" s="3">
        <v>0</v>
      </c>
      <c r="J8" s="3">
        <v>0</v>
      </c>
      <c r="L8" s="3">
        <v>0</v>
      </c>
      <c r="M8" s="3">
        <v>0</v>
      </c>
      <c r="O8" s="3">
        <v>0</v>
      </c>
      <c r="P8" s="3">
        <v>0</v>
      </c>
      <c r="R8" s="3">
        <v>0</v>
      </c>
      <c r="S8" s="3">
        <v>0</v>
      </c>
      <c r="U8" s="3">
        <v>0</v>
      </c>
      <c r="V8" s="3">
        <v>0</v>
      </c>
    </row>
    <row r="9" spans="1:22">
      <c r="A9" s="45"/>
      <c r="C9" s="3">
        <v>40.859000000000002</v>
      </c>
      <c r="D9" s="3">
        <v>70.043999999999997</v>
      </c>
      <c r="F9" s="3">
        <v>0</v>
      </c>
      <c r="G9" s="3">
        <v>0</v>
      </c>
      <c r="I9" s="3">
        <v>0</v>
      </c>
      <c r="J9" s="3">
        <v>0</v>
      </c>
      <c r="L9" s="3">
        <v>0</v>
      </c>
      <c r="M9" s="3">
        <v>0</v>
      </c>
      <c r="O9" s="3">
        <v>0</v>
      </c>
      <c r="P9" s="3">
        <v>0</v>
      </c>
      <c r="R9" s="3">
        <v>0</v>
      </c>
      <c r="S9" s="3">
        <v>0</v>
      </c>
      <c r="U9" s="3">
        <v>0</v>
      </c>
      <c r="V9" s="3">
        <v>0</v>
      </c>
    </row>
    <row r="10" spans="1:22" ht="5.45" customHeight="1">
      <c r="A10" s="2"/>
    </row>
    <row r="11" spans="1:22">
      <c r="A11" t="s">
        <v>2</v>
      </c>
      <c r="C11" cm="1">
        <f t="array" ref="C11">C8+'Track Info'!$A$2*SUMPRODUCT((--($C$16:$S$17=C5)*$C$18:$S$18)+(--($C$20:$S$21=C5)*$C$22:$S$22)+(--($C$24:$S$25=C5)*$C$26:$S$26)+(--($C$28:$S$29=C5)*$C$30:$S$30)+(--($C$32:$S$33=C5)*$C$34:$S$34)+(--($C$36:$S$37=C5)*$C$38:$S$38))</f>
        <v>93.361999999999995</v>
      </c>
      <c r="D11" cm="1">
        <f t="array" ref="D11">D8+'Track Info'!$A$2*SUMPRODUCT((--($C$16:$S$17=D5)*$C$18:$S$18)+(--($C$20:$S$21=D5)*$C$22:$S$22)+(--($C$24:$S$25=D5)*$C$26:$S$26)+(--($C$28:$S$29=D5)*$C$30:$S$30)+(--($C$32:$S$33=D5)*$C$34:$S$34)+(--($C$36:$S$37=D5)*$C$38:$S$38))</f>
        <v>122.547</v>
      </c>
      <c r="F11" cm="1">
        <f t="array" ref="F11">F8+'Track Info'!$A$2*SUMPRODUCT((--($C$16:$S$17=F5)*$C$18:$S$18)+(--($C$20:$S$21=F5)*$C$22:$S$22)+(--($C$24:$S$25=F5)*$C$26:$S$26)+(--($C$28:$S$29=F5)*$C$30:$S$30)+(--($C$32:$S$33=F5)*$C$34:$S$34)+(--($C$36:$S$37=F5)*$C$38:$S$38))</f>
        <v>109.779</v>
      </c>
      <c r="G11" cm="1">
        <f t="array" ref="G11">G8+'Track Info'!$A$2*SUMPRODUCT((--($C$16:$S$17=G5)*$C$18:$S$18)+(--($C$20:$S$21=G5)*$C$22:$S$22)+(--($C$24:$S$25=G5)*$C$26:$S$26)+(--($C$28:$S$29=G5)*$C$30:$S$30)+(--($C$32:$S$33=G5)*$C$34:$S$34)+(--($C$36:$S$37=G5)*$C$38:$S$38))</f>
        <v>109.779</v>
      </c>
      <c r="I11" s="4" cm="1">
        <f t="array" ref="I11">I8+'Track Info'!$A$2*SUMPRODUCT((--($C$16:$S$17=I5)*$C$18:$S$18)+(--($C$20:$S$21=I5)*$C$22:$S$22)+(--($C$24:$S$25=I5)*$C$26:$S$26)+(--($C$28:$S$29=I5)*$C$30:$S$30)+(--($C$32:$S$33=I5)*$C$34:$S$34)+(--($C$36:$S$37=I5)*$C$38:$S$38))</f>
        <v>52.503</v>
      </c>
      <c r="J11" cm="1">
        <f t="array" ref="J11">J8+'Track Info'!$A$2*SUMPRODUCT((--($C$16:$S$17=J5)*$C$18:$S$18)+(--($C$20:$S$21=J5)*$C$22:$S$22)+(--($C$24:$S$25=J5)*$C$26:$S$26)+(--($C$28:$S$29=J5)*$C$30:$S$30)+(--($C$32:$S$33=J5)*$C$34:$S$34)+(--($C$36:$S$37=J5)*$C$38:$S$38))</f>
        <v>52.503</v>
      </c>
      <c r="L11" cm="1">
        <f t="array" ref="L11">L8+'Track Info'!$A$2*SUMPRODUCT((--($C$16:$S$17=L5)*$C$18:$S$18)+(--($C$20:$S$21=L5)*$C$22:$S$22)+(--($C$24:$S$25=L5)*$C$26:$S$26)+(--($C$28:$S$29=L5)*$C$30:$S$30)+(--($C$32:$S$33=L5)*$C$34:$S$34)+(--($C$36:$S$37=L5)*$C$38:$S$38))</f>
        <v>66.822000000000003</v>
      </c>
      <c r="M11" cm="1">
        <f t="array" ref="M11">M8+'Track Info'!$A$2*SUMPRODUCT((--($C$16:$S$17=M5)*$C$18:$S$18)+(--($C$20:$S$21=M5)*$C$22:$S$22)+(--($C$24:$S$25=M5)*$C$26:$S$26)+(--($C$28:$S$29=M5)*$C$30:$S$30)+(--($C$32:$S$33=M5)*$C$34:$S$34)+(--($C$36:$S$37=M5)*$C$38:$S$38))</f>
        <v>81.140999999999991</v>
      </c>
      <c r="O11" cm="1">
        <f t="array" ref="O11">O8+'Track Info'!$A$2*SUMPRODUCT((--($C$16:$S$17=O5)*$C$18:$S$18)+(--($C$20:$S$21=O5)*$C$22:$S$22)+(--($C$24:$S$25=O5)*$C$26:$S$26)+(--($C$28:$S$29=O5)*$C$30:$S$30)+(--($C$32:$S$33=O5)*$C$34:$S$34)+(--($C$36:$S$37=O5)*$C$38:$S$38))</f>
        <v>176.601</v>
      </c>
      <c r="P11" cm="1">
        <f t="array" ref="P11">P8+'Track Info'!$A$2*SUMPRODUCT((--($C$16:$S$17=P5)*$C$18:$S$18)+(--($C$20:$S$21=P5)*$C$22:$S$22)+(--($C$24:$S$25=P5)*$C$26:$S$26)+(--($C$28:$S$29=P5)*$C$30:$S$30)+(--($C$32:$S$33=P5)*$C$34:$S$34)+(--($C$36:$S$37=P5)*$C$38:$S$38))</f>
        <v>162.28199999999998</v>
      </c>
      <c r="R11" cm="1">
        <f t="array" ref="R11">R8+'Track Info'!$A$2*SUMPRODUCT((--($C$16:$S$17=R5)*$C$18:$S$18)+(--($C$20:$S$21=R5)*$C$22:$S$22)+(--($C$24:$S$25=R5)*$C$26:$S$26)+(--($C$28:$S$29=R5)*$C$30:$S$30)+(--($C$32:$S$33=R5)*$C$34:$S$34)+(--($C$36:$S$37=R5)*$C$38:$S$38))</f>
        <v>0</v>
      </c>
      <c r="S11" cm="1">
        <f t="array" ref="S11">S8+'Track Info'!$A$2*SUMPRODUCT((--($C$16:$S$17=S5)*$C$18:$S$18)+(--($C$20:$S$21=S5)*$C$22:$S$22)+(--($C$24:$S$25=S5)*$C$26:$S$26)+(--($C$28:$S$29=S5)*$C$30:$S$30)+(--($C$32:$S$33=S5)*$C$34:$S$34)+(--($C$36:$S$37=S5)*$C$38:$S$38))</f>
        <v>0</v>
      </c>
      <c r="U11" cm="1">
        <f t="array" ref="U11">U8+'Track Info'!$A$2*SUMPRODUCT((--($C$16:$S$17=U5)*$C$18:$S$18)+(--($C$20:$S$21=U5)*$C$22:$S$22)+(--($C$24:$S$25=U5)*$C$26:$S$26)+(--($C$28:$S$29=U5)*$C$30:$S$30)+(--($C$32:$S$33=U5)*$C$34:$S$34)+(--($C$36:$S$37=U5)*$C$38:$S$38))</f>
        <v>0</v>
      </c>
      <c r="V11" cm="1">
        <f t="array" ref="V11">V8+'Track Info'!$A$2*SUMPRODUCT((--($C$16:$S$17=V5)*$C$18:$S$18)+(--($C$20:$S$21=V5)*$C$22:$S$22)+(--($C$24:$S$25=V5)*$C$26:$S$26)+(--($C$28:$S$29=V5)*$C$30:$S$30)+(--($C$32:$S$33=V5)*$C$34:$S$34)+(--($C$36:$S$37=V5)*$C$38:$S$38))</f>
        <v>0</v>
      </c>
    </row>
    <row r="12" spans="1:22">
      <c r="C12" cm="1">
        <f t="array" ref="C12">C9+'Track Info'!$A$2*SUMPRODUCT((--($C$16:$S$17=C6)*$C$18:$S$18)+(--($C$20:$S$21=C6)*$C$22:$S$22)+(--($C$24:$S$25=C6)*$C$26:$S$26)+(--($C$28:$S$29=C6)*$C$30:$S$30)+(--($C$32:$S$33=C6)*$C$34:$S$34)+(--($C$36:$S$37=C6)*$C$38:$S$38))</f>
        <v>93.361999999999995</v>
      </c>
      <c r="D12" cm="1">
        <f t="array" ref="D12">D9+'Track Info'!$A$2*SUMPRODUCT((--($C$16:$S$17=D6)*$C$18:$S$18)+(--($C$20:$S$21=D6)*$C$22:$S$22)+(--($C$24:$S$25=D6)*$C$26:$S$26)+(--($C$28:$S$29=D6)*$C$30:$S$30)+(--($C$32:$S$33=D6)*$C$34:$S$34)+(--($C$36:$S$37=D6)*$C$38:$S$38))</f>
        <v>122.547</v>
      </c>
      <c r="F12" cm="1">
        <f t="array" ref="F12">F9+'Track Info'!$A$2*SUMPRODUCT((--($C$16:$S$17=F6)*$C$18:$S$18)+(--($C$20:$S$21=F6)*$C$22:$S$22)+(--($C$24:$S$25=F6)*$C$26:$S$26)+(--($C$28:$S$29=F6)*$C$30:$S$30)+(--($C$32:$S$33=F6)*$C$34:$S$34)+(--($C$36:$S$37=F6)*$C$38:$S$38))</f>
        <v>109.779</v>
      </c>
      <c r="G12" cm="1">
        <f t="array" ref="G12">G9+'Track Info'!$A$2*SUMPRODUCT((--($C$16:$S$17=G6)*$C$18:$S$18)+(--($C$20:$S$21=G6)*$C$22:$S$22)+(--($C$24:$S$25=G6)*$C$26:$S$26)+(--($C$28:$S$29=G6)*$C$30:$S$30)+(--($C$32:$S$33=G6)*$C$34:$S$34)+(--($C$36:$S$37=G6)*$C$38:$S$38))</f>
        <v>109.779</v>
      </c>
      <c r="I12" cm="1">
        <f t="array" ref="I12">I9+'Track Info'!$A$2*SUMPRODUCT((--($C$16:$S$17=I6)*$C$18:$S$18)+(--($C$20:$S$21=I6)*$C$22:$S$22)+(--($C$24:$S$25=I6)*$C$26:$S$26)+(--($C$28:$S$29=I6)*$C$30:$S$30)+(--($C$32:$S$33=I6)*$C$34:$S$34)+(--($C$36:$S$37=I6)*$C$38:$S$38))</f>
        <v>52.503</v>
      </c>
      <c r="J12" cm="1">
        <f t="array" ref="J12">J9+'Track Info'!$A$2*SUMPRODUCT((--($C$16:$S$17=J6)*$C$18:$S$18)+(--($C$20:$S$21=J6)*$C$22:$S$22)+(--($C$24:$S$25=J6)*$C$26:$S$26)+(--($C$28:$S$29=J6)*$C$30:$S$30)+(--($C$32:$S$33=J6)*$C$34:$S$34)+(--($C$36:$S$37=J6)*$C$38:$S$38))</f>
        <v>52.503</v>
      </c>
      <c r="L12" cm="1">
        <f t="array" ref="L12">L9+'Track Info'!$A$2*SUMPRODUCT((--($C$16:$S$17=L6)*$C$18:$S$18)+(--($C$20:$S$21=L6)*$C$22:$S$22)+(--($C$24:$S$25=L6)*$C$26:$S$26)+(--($C$28:$S$29=L6)*$C$30:$S$30)+(--($C$32:$S$33=L6)*$C$34:$S$34)+(--($C$36:$S$37=L6)*$C$38:$S$38))</f>
        <v>66.822000000000003</v>
      </c>
      <c r="M12" cm="1">
        <f t="array" ref="M12">M9+'Track Info'!$A$2*SUMPRODUCT((--($C$16:$S$17=M6)*$C$18:$S$18)+(--($C$20:$S$21=M6)*$C$22:$S$22)+(--($C$24:$S$25=M6)*$C$26:$S$26)+(--($C$28:$S$29=M6)*$C$30:$S$30)+(--($C$32:$S$33=M6)*$C$34:$S$34)+(--($C$36:$S$37=M6)*$C$38:$S$38))</f>
        <v>81.140999999999991</v>
      </c>
      <c r="O12" cm="1">
        <f t="array" ref="O12">O9+'Track Info'!$A$2*SUMPRODUCT((--($C$16:$S$17=O6)*$C$18:$S$18)+(--($C$20:$S$21=O6)*$C$22:$S$22)+(--($C$24:$S$25=O6)*$C$26:$S$26)+(--($C$28:$S$29=O6)*$C$30:$S$30)+(--($C$32:$S$33=O6)*$C$34:$S$34)+(--($C$36:$S$37=O6)*$C$38:$S$38))</f>
        <v>176.601</v>
      </c>
      <c r="P12" cm="1">
        <f t="array" ref="P12">P9+'Track Info'!$A$2*SUMPRODUCT((--($C$16:$S$17=P6)*$C$18:$S$18)+(--($C$20:$S$21=P6)*$C$22:$S$22)+(--($C$24:$S$25=P6)*$C$26:$S$26)+(--($C$28:$S$29=P6)*$C$30:$S$30)+(--($C$32:$S$33=P6)*$C$34:$S$34)+(--($C$36:$S$37=P6)*$C$38:$S$38))</f>
        <v>162.28199999999998</v>
      </c>
      <c r="R12" cm="1">
        <f t="array" ref="R12">R9+'Track Info'!$A$2*SUMPRODUCT((--($C$16:$S$17=R6)*$C$18:$S$18)+(--($C$20:$S$21=R6)*$C$22:$S$22)+(--($C$24:$S$25=R6)*$C$26:$S$26)+(--($C$28:$S$29=R6)*$C$30:$S$30)+(--($C$32:$S$33=R6)*$C$34:$S$34)+(--($C$36:$S$37=R6)*$C$38:$S$38))</f>
        <v>0</v>
      </c>
      <c r="S12" cm="1">
        <f t="array" ref="S12">S9+'Track Info'!$A$2*SUMPRODUCT((--($C$16:$S$17=S6)*$C$18:$S$18)+(--($C$20:$S$21=S6)*$C$22:$S$22)+(--($C$24:$S$25=S6)*$C$26:$S$26)+(--($C$28:$S$29=S6)*$C$30:$S$30)+(--($C$32:$S$33=S6)*$C$34:$S$34)+(--($C$36:$S$37=S6)*$C$38:$S$38))</f>
        <v>0</v>
      </c>
      <c r="U12" cm="1">
        <f t="array" ref="U12">U9+'Track Info'!$A$2*SUMPRODUCT((--($C$16:$S$17=U6)*$C$18:$S$18)+(--($C$20:$S$21=U6)*$C$22:$S$22)+(--($C$24:$S$25=U6)*$C$26:$S$26)+(--($C$28:$S$29=U6)*$C$30:$S$30)+(--($C$32:$S$33=U6)*$C$34:$S$34)+(--($C$36:$S$37=U6)*$C$38:$S$38))</f>
        <v>0</v>
      </c>
      <c r="V12" cm="1">
        <f t="array" ref="V12">V9+'Track Info'!$A$2*SUMPRODUCT((--($C$16:$S$17=V6)*$C$18:$S$18)+(--($C$20:$S$21=V6)*$C$22:$S$22)+(--($C$24:$S$25=V6)*$C$26:$S$26)+(--($C$28:$S$29=V6)*$C$30:$S$30)+(--($C$32:$S$33=V6)*$C$34:$S$34)+(--($C$36:$S$37=V6)*$C$38:$S$38))</f>
        <v>0</v>
      </c>
    </row>
    <row r="13" spans="1:22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</row>
    <row r="14" spans="1:22">
      <c r="A14" s="24"/>
      <c r="B14" s="25"/>
      <c r="C14" s="46" t="s">
        <v>10</v>
      </c>
      <c r="D14" s="46"/>
      <c r="E14" s="25"/>
      <c r="F14" s="46" t="s">
        <v>11</v>
      </c>
      <c r="G14" s="46"/>
      <c r="H14" s="25"/>
      <c r="I14" s="46" t="s">
        <v>12</v>
      </c>
      <c r="J14" s="46"/>
      <c r="K14" s="25"/>
      <c r="L14" s="46" t="s">
        <v>13</v>
      </c>
      <c r="M14" s="46"/>
      <c r="N14" s="25"/>
      <c r="O14" s="46" t="s">
        <v>14</v>
      </c>
      <c r="P14" s="46"/>
      <c r="Q14" s="25"/>
      <c r="R14" s="46" t="s">
        <v>15</v>
      </c>
      <c r="S14" s="47"/>
    </row>
    <row r="15" spans="1:22" ht="6.6" customHeight="1">
      <c r="A15" s="26"/>
      <c r="B15" s="23"/>
      <c r="C15" s="27"/>
      <c r="D15" s="27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8"/>
    </row>
    <row r="16" spans="1:22">
      <c r="A16" s="43" t="s">
        <v>18</v>
      </c>
      <c r="B16" s="23"/>
      <c r="C16" s="36" t="s">
        <v>20</v>
      </c>
      <c r="D16" s="37" t="s">
        <v>21</v>
      </c>
      <c r="E16" s="23"/>
      <c r="F16" s="39" t="s">
        <v>26</v>
      </c>
      <c r="G16" s="38" t="s">
        <v>24</v>
      </c>
      <c r="H16" s="23"/>
      <c r="I16" s="32" t="s">
        <v>32</v>
      </c>
      <c r="J16" s="33" t="s">
        <v>34</v>
      </c>
      <c r="K16" s="23"/>
      <c r="L16" s="35" t="s">
        <v>38</v>
      </c>
      <c r="M16" s="34" t="s">
        <v>36</v>
      </c>
      <c r="N16" s="23"/>
      <c r="O16" s="33" t="s">
        <v>34</v>
      </c>
      <c r="P16" s="34" t="s">
        <v>36</v>
      </c>
      <c r="Q16" s="23"/>
      <c r="R16" s="32" t="s">
        <v>32</v>
      </c>
      <c r="S16" s="35" t="s">
        <v>38</v>
      </c>
    </row>
    <row r="17" spans="1:19">
      <c r="A17" s="43"/>
      <c r="B17" s="23"/>
      <c r="C17" s="36" t="s">
        <v>22</v>
      </c>
      <c r="D17" s="37" t="s">
        <v>23</v>
      </c>
      <c r="E17" s="23"/>
      <c r="F17" s="39" t="s">
        <v>27</v>
      </c>
      <c r="G17" s="38" t="s">
        <v>25</v>
      </c>
      <c r="H17" s="23"/>
      <c r="I17" s="32" t="s">
        <v>33</v>
      </c>
      <c r="J17" s="33" t="s">
        <v>35</v>
      </c>
      <c r="K17" s="23"/>
      <c r="L17" s="35" t="s">
        <v>39</v>
      </c>
      <c r="M17" s="34" t="s">
        <v>37</v>
      </c>
      <c r="N17" s="23"/>
      <c r="O17" s="33" t="s">
        <v>35</v>
      </c>
      <c r="P17" s="34" t="s">
        <v>37</v>
      </c>
      <c r="Q17" s="23"/>
      <c r="R17" s="32" t="s">
        <v>33</v>
      </c>
      <c r="S17" s="35" t="s">
        <v>39</v>
      </c>
    </row>
    <row r="18" spans="1:19" s="1" customFormat="1">
      <c r="A18" s="29" t="s">
        <v>16</v>
      </c>
      <c r="B18" s="27"/>
      <c r="C18" s="27">
        <v>11</v>
      </c>
      <c r="D18" s="27">
        <v>11</v>
      </c>
      <c r="E18" s="27"/>
      <c r="F18" s="27">
        <v>11</v>
      </c>
      <c r="G18" s="27">
        <v>11</v>
      </c>
      <c r="H18" s="27"/>
      <c r="I18" s="27">
        <v>3</v>
      </c>
      <c r="J18" s="27">
        <v>3</v>
      </c>
      <c r="K18" s="27"/>
      <c r="L18" s="27">
        <v>14</v>
      </c>
      <c r="M18" s="27">
        <v>14</v>
      </c>
      <c r="N18" s="27"/>
      <c r="O18" s="27">
        <v>14</v>
      </c>
      <c r="P18" s="27">
        <v>14</v>
      </c>
      <c r="Q18" s="27"/>
      <c r="R18" s="27">
        <v>11</v>
      </c>
      <c r="S18" s="30">
        <v>11</v>
      </c>
    </row>
    <row r="19" spans="1:19" s="12" customFormat="1" ht="7.9" customHeight="1">
      <c r="A19" s="29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30"/>
    </row>
    <row r="20" spans="1:19">
      <c r="A20" s="43" t="s">
        <v>18</v>
      </c>
      <c r="B20" s="23"/>
      <c r="C20" s="38" t="s">
        <v>24</v>
      </c>
      <c r="D20" s="39" t="s">
        <v>26</v>
      </c>
      <c r="E20" s="23"/>
      <c r="F20" s="40" t="s">
        <v>28</v>
      </c>
      <c r="G20" s="41" t="s">
        <v>30</v>
      </c>
      <c r="H20" s="23"/>
      <c r="I20" s="34" t="s">
        <v>36</v>
      </c>
      <c r="J20" s="35" t="s">
        <v>38</v>
      </c>
      <c r="K20" s="23"/>
      <c r="L20" s="24"/>
      <c r="M20" s="24"/>
      <c r="N20" s="23"/>
      <c r="O20" s="24"/>
      <c r="P20" s="24"/>
      <c r="Q20" s="23"/>
      <c r="R20" s="24"/>
      <c r="S20" s="24"/>
    </row>
    <row r="21" spans="1:19">
      <c r="A21" s="43"/>
      <c r="B21" s="23"/>
      <c r="C21" s="38" t="s">
        <v>25</v>
      </c>
      <c r="D21" s="39" t="s">
        <v>27</v>
      </c>
      <c r="E21" s="23"/>
      <c r="F21" s="40" t="s">
        <v>29</v>
      </c>
      <c r="G21" s="41" t="s">
        <v>31</v>
      </c>
      <c r="H21" s="23"/>
      <c r="I21" s="34" t="s">
        <v>37</v>
      </c>
      <c r="J21" s="35" t="s">
        <v>39</v>
      </c>
      <c r="K21" s="23"/>
      <c r="L21" s="24"/>
      <c r="M21" s="24"/>
      <c r="N21" s="23"/>
      <c r="O21" s="24"/>
      <c r="P21" s="24"/>
      <c r="Q21" s="23"/>
      <c r="R21" s="24"/>
      <c r="S21" s="24"/>
    </row>
    <row r="22" spans="1:19" s="1" customFormat="1">
      <c r="A22" s="29" t="s">
        <v>16</v>
      </c>
      <c r="B22" s="27"/>
      <c r="C22" s="27">
        <v>12</v>
      </c>
      <c r="D22" s="27">
        <v>12</v>
      </c>
      <c r="E22" s="27"/>
      <c r="F22" s="27">
        <v>11</v>
      </c>
      <c r="G22" s="27">
        <v>11</v>
      </c>
      <c r="H22" s="27"/>
      <c r="I22" s="27">
        <v>9</v>
      </c>
      <c r="J22" s="27">
        <v>9</v>
      </c>
      <c r="K22" s="27"/>
      <c r="L22" s="27"/>
      <c r="M22" s="27"/>
      <c r="N22" s="27"/>
      <c r="O22" s="27"/>
      <c r="P22" s="27"/>
      <c r="Q22" s="27"/>
      <c r="R22" s="27"/>
      <c r="S22" s="30"/>
    </row>
    <row r="23" spans="1:19" s="1" customFormat="1" ht="7.9" customHeight="1">
      <c r="A23" s="31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30"/>
    </row>
    <row r="24" spans="1:19">
      <c r="A24" s="43" t="s">
        <v>18</v>
      </c>
      <c r="B24" s="23"/>
      <c r="C24" s="24"/>
      <c r="D24" s="24"/>
      <c r="E24" s="23"/>
      <c r="F24" s="24"/>
      <c r="G24" s="24"/>
      <c r="H24" s="23"/>
      <c r="I24" s="24"/>
      <c r="J24" s="24"/>
      <c r="K24" s="23"/>
      <c r="L24" s="24"/>
      <c r="M24" s="24"/>
      <c r="N24" s="23"/>
      <c r="O24" s="24"/>
      <c r="P24" s="24"/>
      <c r="Q24" s="23"/>
      <c r="R24" s="24"/>
      <c r="S24" s="24"/>
    </row>
    <row r="25" spans="1:19">
      <c r="A25" s="43"/>
      <c r="B25" s="23"/>
      <c r="C25" s="24"/>
      <c r="D25" s="24"/>
      <c r="E25" s="23"/>
      <c r="F25" s="24"/>
      <c r="G25" s="24"/>
      <c r="H25" s="23"/>
      <c r="I25" s="24"/>
      <c r="J25" s="24"/>
      <c r="K25" s="23"/>
      <c r="L25" s="24"/>
      <c r="M25" s="24"/>
      <c r="N25" s="23"/>
      <c r="O25" s="24"/>
      <c r="P25" s="24"/>
      <c r="Q25" s="23"/>
      <c r="R25" s="24"/>
      <c r="S25" s="24"/>
    </row>
    <row r="26" spans="1:19" s="1" customFormat="1">
      <c r="A26" s="29" t="s">
        <v>16</v>
      </c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30"/>
    </row>
    <row r="27" spans="1:19" s="1" customFormat="1" ht="7.9" customHeight="1">
      <c r="A27" s="29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30"/>
    </row>
    <row r="28" spans="1:19">
      <c r="A28" s="43" t="s">
        <v>18</v>
      </c>
      <c r="B28" s="23"/>
      <c r="C28" s="24"/>
      <c r="D28" s="24"/>
      <c r="E28" s="23"/>
      <c r="F28" s="24"/>
      <c r="G28" s="24"/>
      <c r="H28" s="23"/>
      <c r="I28" s="24"/>
      <c r="J28" s="24"/>
      <c r="K28" s="23"/>
      <c r="L28" s="24"/>
      <c r="M28" s="24"/>
      <c r="N28" s="23"/>
      <c r="O28" s="24"/>
      <c r="P28" s="24"/>
      <c r="Q28" s="23"/>
      <c r="R28" s="24"/>
      <c r="S28" s="24"/>
    </row>
    <row r="29" spans="1:19">
      <c r="A29" s="43"/>
      <c r="B29" s="23"/>
      <c r="C29" s="24"/>
      <c r="D29" s="24"/>
      <c r="E29" s="23"/>
      <c r="F29" s="24"/>
      <c r="G29" s="24"/>
      <c r="H29" s="23"/>
      <c r="I29" s="24"/>
      <c r="J29" s="24"/>
      <c r="K29" s="23"/>
      <c r="L29" s="24"/>
      <c r="M29" s="24"/>
      <c r="N29" s="23"/>
      <c r="O29" s="24"/>
      <c r="P29" s="24"/>
      <c r="Q29" s="23"/>
      <c r="R29" s="24"/>
      <c r="S29" s="24"/>
    </row>
    <row r="30" spans="1:19" s="1" customFormat="1">
      <c r="A30" s="29" t="s">
        <v>16</v>
      </c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30"/>
    </row>
    <row r="31" spans="1:19" s="1" customFormat="1" ht="7.9" customHeight="1">
      <c r="A31" s="29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30"/>
    </row>
    <row r="32" spans="1:19">
      <c r="A32" s="43" t="s">
        <v>18</v>
      </c>
      <c r="B32" s="23"/>
      <c r="C32" s="24"/>
      <c r="D32" s="24"/>
      <c r="E32" s="23"/>
      <c r="F32" s="24"/>
      <c r="G32" s="24"/>
      <c r="H32" s="23"/>
      <c r="I32" s="24"/>
      <c r="J32" s="24"/>
      <c r="K32" s="23"/>
      <c r="L32" s="24"/>
      <c r="M32" s="24"/>
      <c r="N32" s="23"/>
      <c r="O32" s="24"/>
      <c r="P32" s="24"/>
      <c r="Q32" s="23"/>
      <c r="R32" s="24"/>
      <c r="S32" s="24"/>
    </row>
    <row r="33" spans="1:19">
      <c r="A33" s="43"/>
      <c r="B33" s="23"/>
      <c r="C33" s="24"/>
      <c r="D33" s="24"/>
      <c r="E33" s="23"/>
      <c r="F33" s="24"/>
      <c r="G33" s="24"/>
      <c r="H33" s="23"/>
      <c r="I33" s="24"/>
      <c r="J33" s="24"/>
      <c r="K33" s="23"/>
      <c r="L33" s="24"/>
      <c r="M33" s="24"/>
      <c r="N33" s="23"/>
      <c r="O33" s="24"/>
      <c r="P33" s="24"/>
      <c r="Q33" s="23"/>
      <c r="R33" s="24"/>
      <c r="S33" s="24"/>
    </row>
    <row r="34" spans="1:19" s="1" customFormat="1">
      <c r="A34" s="29" t="s">
        <v>16</v>
      </c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30"/>
    </row>
    <row r="35" spans="1:19" s="1" customFormat="1" ht="7.9" customHeight="1">
      <c r="A35" s="29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30"/>
    </row>
    <row r="36" spans="1:19">
      <c r="A36" s="43" t="s">
        <v>18</v>
      </c>
      <c r="B36" s="23"/>
      <c r="C36" s="24"/>
      <c r="D36" s="24"/>
      <c r="E36" s="23"/>
      <c r="F36" s="24"/>
      <c r="G36" s="24"/>
      <c r="H36" s="23"/>
      <c r="I36" s="24"/>
      <c r="J36" s="24"/>
      <c r="K36" s="23"/>
      <c r="L36" s="24"/>
      <c r="M36" s="24"/>
      <c r="N36" s="23"/>
      <c r="O36" s="24"/>
      <c r="P36" s="24"/>
      <c r="Q36" s="23"/>
      <c r="R36" s="24"/>
      <c r="S36" s="24"/>
    </row>
    <row r="37" spans="1:19">
      <c r="A37" s="43"/>
      <c r="B37" s="23"/>
      <c r="C37" s="24"/>
      <c r="D37" s="24"/>
      <c r="E37" s="23"/>
      <c r="F37" s="24"/>
      <c r="G37" s="24"/>
      <c r="H37" s="23"/>
      <c r="I37" s="24"/>
      <c r="J37" s="24"/>
      <c r="K37" s="23"/>
      <c r="L37" s="24"/>
      <c r="M37" s="24"/>
      <c r="N37" s="23"/>
      <c r="O37" s="24"/>
      <c r="P37" s="24"/>
      <c r="Q37" s="23"/>
      <c r="R37" s="24"/>
      <c r="S37" s="24"/>
    </row>
    <row r="38" spans="1:19" s="1" customFormat="1">
      <c r="A38" s="5" t="s">
        <v>16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7"/>
    </row>
    <row r="39" spans="1:19" s="1" customFormat="1" ht="7.9" customHeight="1"/>
  </sheetData>
  <mergeCells count="22">
    <mergeCell ref="A1:V1"/>
    <mergeCell ref="C3:D3"/>
    <mergeCell ref="L3:M3"/>
    <mergeCell ref="O3:P3"/>
    <mergeCell ref="R3:S3"/>
    <mergeCell ref="U3:V3"/>
    <mergeCell ref="F3:G3"/>
    <mergeCell ref="I3:J3"/>
    <mergeCell ref="A5:A6"/>
    <mergeCell ref="A8:A9"/>
    <mergeCell ref="C14:D14"/>
    <mergeCell ref="F14:G14"/>
    <mergeCell ref="I14:J14"/>
    <mergeCell ref="A32:A33"/>
    <mergeCell ref="A36:A37"/>
    <mergeCell ref="O14:P14"/>
    <mergeCell ref="R14:S14"/>
    <mergeCell ref="A16:A17"/>
    <mergeCell ref="A20:A21"/>
    <mergeCell ref="A24:A25"/>
    <mergeCell ref="A28:A29"/>
    <mergeCell ref="L14:M1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052A0-EFA5-4DD8-9267-8466DA50D3FD}">
  <sheetPr codeName="Sheet4"/>
  <dimension ref="A1:S37"/>
  <sheetViews>
    <sheetView workbookViewId="0">
      <selection activeCell="A2" sqref="A2"/>
    </sheetView>
  </sheetViews>
  <sheetFormatPr defaultRowHeight="14.25"/>
  <cols>
    <col min="1" max="1" width="10.25" customWidth="1"/>
  </cols>
  <sheetData>
    <row r="1" spans="1:19">
      <c r="A1" s="44" t="s">
        <v>48</v>
      </c>
      <c r="B1" s="44"/>
    </row>
    <row r="2" spans="1:19">
      <c r="A2">
        <v>4.7729999999999997</v>
      </c>
      <c r="B2" t="s">
        <v>0</v>
      </c>
    </row>
    <row r="13" spans="1:19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</row>
    <row r="14" spans="1:19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</row>
    <row r="15" spans="1:19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</row>
    <row r="16" spans="1:19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</row>
    <row r="17" spans="1:19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</row>
    <row r="18" spans="1:19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</row>
    <row r="19" spans="1:19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</row>
    <row r="20" spans="1:19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</row>
    <row r="21" spans="1:19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</row>
    <row r="22" spans="1:19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</row>
    <row r="23" spans="1:19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</row>
    <row r="24" spans="1:19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</row>
    <row r="25" spans="1:19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</row>
    <row r="26" spans="1:19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</row>
    <row r="27" spans="1:19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</row>
    <row r="28" spans="1:19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</row>
    <row r="29" spans="1:19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</row>
    <row r="30" spans="1:19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</row>
    <row r="31" spans="1:19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</row>
    <row r="32" spans="1:19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</row>
    <row r="33" spans="1:19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</row>
    <row r="34" spans="1:19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</row>
    <row r="35" spans="1:19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</row>
    <row r="36" spans="1:19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</row>
    <row r="37" spans="1:19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#XX</vt:lpstr>
      <vt:lpstr>Track 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JHR F4</dc:creator>
  <cp:lastModifiedBy>José Vale</cp:lastModifiedBy>
  <dcterms:created xsi:type="dcterms:W3CDTF">2025-04-23T16:15:42Z</dcterms:created>
  <dcterms:modified xsi:type="dcterms:W3CDTF">2025-06-05T11:40:01Z</dcterms:modified>
</cp:coreProperties>
</file>